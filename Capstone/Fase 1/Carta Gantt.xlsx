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13_ncr:1_{FFB381AF-FE4D-4D02-930C-1B05A624CA0F}" xr6:coauthVersionLast="47" xr6:coauthVersionMax="47" xr10:uidLastSave="{00000000-0000-0000-0000-000000000000}"/>
  <bookViews>
    <workbookView xWindow="-28920" yWindow="-120" windowWidth="29040" windowHeight="15720" xr2:uid="{00000000-000D-0000-FFFF-FFFF00000000}"/>
  </bookViews>
  <sheets>
    <sheet name="Carta Gatt" sheetId="11" r:id="rId1"/>
  </sheets>
  <definedNames>
    <definedName name="hoy" localSheetId="0">TODAY()</definedName>
    <definedName name="Inicio_del_proyecto">'Carta Gatt'!$E$2</definedName>
    <definedName name="Semana_para_mostrar">'Carta Gatt'!$E$3</definedName>
    <definedName name="task_end" localSheetId="0">'Carta Gatt'!$F1</definedName>
    <definedName name="task_progress" localSheetId="0">'Carta Gatt'!$D1</definedName>
    <definedName name="task_start" localSheetId="0">'Carta Gatt'!$E1</definedName>
    <definedName name="_xlnm.Print_Titles" localSheetId="0">'Carta Gatt'!$3:$5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7" i="11" l="1"/>
  <c r="H45" i="11"/>
  <c r="H47" i="11"/>
  <c r="H48" i="11"/>
  <c r="H49" i="11"/>
  <c r="H55" i="11"/>
  <c r="H56" i="11"/>
  <c r="H59" i="11"/>
  <c r="H60" i="11"/>
  <c r="H61" i="11"/>
  <c r="H62" i="11"/>
  <c r="H63" i="11"/>
  <c r="H64" i="11"/>
  <c r="F13" i="11"/>
  <c r="F12" i="11"/>
  <c r="F11" i="11"/>
  <c r="H9" i="11"/>
  <c r="E2" i="11" l="1"/>
  <c r="H6" i="11"/>
  <c r="H8" i="11" l="1"/>
  <c r="K4" i="11"/>
  <c r="AA4" i="11"/>
  <c r="AQ4" i="11"/>
  <c r="BG4" i="11"/>
  <c r="BW4" i="11"/>
  <c r="O4" i="11"/>
  <c r="AC4" i="11"/>
  <c r="AS4" i="11"/>
  <c r="BY4" i="11"/>
  <c r="Q4" i="11"/>
  <c r="AD4" i="11"/>
  <c r="AT4" i="11"/>
  <c r="AT3" i="11" s="1"/>
  <c r="BZ4" i="11"/>
  <c r="AU4" i="11"/>
  <c r="S4" i="11"/>
  <c r="AF4" i="11"/>
  <c r="AV4" i="11"/>
  <c r="CB4" i="11"/>
  <c r="BM4" i="11"/>
  <c r="U4" i="11"/>
  <c r="U3" i="11" s="1"/>
  <c r="AH4" i="11"/>
  <c r="AX4" i="11"/>
  <c r="BN4" i="11"/>
  <c r="BN3" i="11" s="1"/>
  <c r="V4" i="11"/>
  <c r="AI4" i="11"/>
  <c r="AY4" i="11"/>
  <c r="AY3" i="11" s="1"/>
  <c r="BO4" i="11"/>
  <c r="W4" i="11"/>
  <c r="AJ4" i="11"/>
  <c r="AJ3" i="11" s="1"/>
  <c r="AZ4" i="11"/>
  <c r="BP4" i="11"/>
  <c r="X4" i="11"/>
  <c r="BQ4" i="11"/>
  <c r="AL4" i="11"/>
  <c r="BB4" i="11"/>
  <c r="BR4" i="11"/>
  <c r="I4" i="11"/>
  <c r="I3" i="11" s="1"/>
  <c r="BC4" i="11"/>
  <c r="AN4" i="11"/>
  <c r="BD4" i="11"/>
  <c r="BD3" i="11" s="1"/>
  <c r="BT4" i="11"/>
  <c r="L4" i="11"/>
  <c r="Y4" i="11"/>
  <c r="BE4" i="11"/>
  <c r="Z4" i="11"/>
  <c r="Z3" i="11" s="1"/>
  <c r="BF4" i="11"/>
  <c r="N4" i="11"/>
  <c r="AB4" i="11"/>
  <c r="AR4" i="11"/>
  <c r="BH4" i="11"/>
  <c r="BX4" i="11"/>
  <c r="BX3" i="11" s="1"/>
  <c r="P4" i="11"/>
  <c r="BI4" i="11"/>
  <c r="BI3" i="11" s="1"/>
  <c r="BJ4" i="11"/>
  <c r="R4" i="11"/>
  <c r="AE4" i="11"/>
  <c r="AE3" i="11" s="1"/>
  <c r="BK4" i="11"/>
  <c r="CA4" i="11"/>
  <c r="BL4" i="11"/>
  <c r="T4" i="11"/>
  <c r="AG4" i="11"/>
  <c r="AW4" i="11"/>
  <c r="CC4" i="11"/>
  <c r="CC3" i="11" s="1"/>
  <c r="CD4" i="11"/>
  <c r="CE4" i="11"/>
  <c r="CF4" i="11"/>
  <c r="AK4" i="11"/>
  <c r="BA4" i="11"/>
  <c r="CG4" i="11"/>
  <c r="J4" i="11"/>
  <c r="AM4" i="11"/>
  <c r="BS4" i="11"/>
  <c r="BS3" i="11" s="1"/>
  <c r="AO4" i="11"/>
  <c r="AO3" i="11" s="1"/>
  <c r="BU4" i="11"/>
  <c r="M4" i="11"/>
  <c r="AP4" i="11"/>
  <c r="BV4" i="11"/>
  <c r="H68" i="11"/>
  <c r="H67" i="11"/>
  <c r="H66" i="11"/>
  <c r="H65" i="11"/>
  <c r="H32" i="11"/>
  <c r="H7" i="11"/>
  <c r="I5" i="11" l="1"/>
  <c r="J5" i="11" l="1"/>
  <c r="H17" i="11"/>
  <c r="H34" i="11" l="1"/>
  <c r="K5" i="11"/>
  <c r="H11" i="11"/>
  <c r="H14" i="11"/>
  <c r="L5" i="11" l="1"/>
  <c r="N5" i="11" l="1"/>
  <c r="M5" i="11"/>
  <c r="O5" i="11" l="1"/>
  <c r="P3" i="11" l="1"/>
  <c r="P5" i="11" l="1"/>
  <c r="Q5" i="11" l="1"/>
  <c r="R5" i="11" l="1"/>
  <c r="S5" i="11" l="1"/>
  <c r="T5" i="11" l="1"/>
  <c r="U5" i="11" l="1"/>
  <c r="V5" i="11"/>
  <c r="W5" i="11" l="1"/>
  <c r="X5" i="11" l="1"/>
  <c r="Y5" i="11" l="1"/>
  <c r="AS5" i="11" l="1"/>
  <c r="AT5" i="11" l="1"/>
  <c r="Z5" i="11"/>
  <c r="AA5" i="11"/>
  <c r="AU5" i="11" l="1"/>
  <c r="AB5" i="11"/>
  <c r="AV5" i="11" l="1"/>
  <c r="AC5" i="11"/>
  <c r="AW5" i="11" l="1"/>
  <c r="AD5" i="11"/>
  <c r="AX5" i="11" l="1"/>
  <c r="AE5" i="11"/>
  <c r="AY5" i="11" l="1"/>
  <c r="AF5" i="11"/>
  <c r="AZ5" i="11" l="1"/>
  <c r="AG5" i="11"/>
  <c r="BA5" i="11" l="1"/>
  <c r="AH5" i="11"/>
  <c r="BB5" i="11" l="1"/>
  <c r="AI5" i="11"/>
  <c r="BC5" i="11" l="1"/>
  <c r="AJ5" i="11"/>
  <c r="BD5" i="11" l="1"/>
  <c r="AK5" i="11"/>
  <c r="BE5" i="11" l="1"/>
  <c r="AL5" i="11"/>
  <c r="BF5" i="11" l="1"/>
  <c r="AM5" i="11"/>
  <c r="BG5" i="11" l="1"/>
  <c r="AN5" i="11"/>
  <c r="BH5" i="11" l="1"/>
  <c r="AO5" i="11"/>
  <c r="BI5" i="11" l="1"/>
  <c r="AP5" i="11"/>
  <c r="BJ5" i="11" l="1"/>
  <c r="AQ5" i="11"/>
  <c r="BK5" i="11" l="1"/>
  <c r="AR5" i="11"/>
  <c r="BL5" i="11" l="1"/>
  <c r="BM5" i="11" l="1"/>
  <c r="BN5" i="11" l="1"/>
  <c r="BO5" i="11" l="1"/>
  <c r="BP5" i="11" l="1"/>
  <c r="BQ5" i="11" l="1"/>
  <c r="BR5" i="11" l="1"/>
  <c r="BS5" i="11" l="1"/>
  <c r="BT5" i="11" l="1"/>
  <c r="BU5" i="11" l="1"/>
  <c r="BV5" i="11" l="1"/>
  <c r="BW5" i="11" l="1"/>
  <c r="BX5" i="11" l="1"/>
  <c r="BY5" i="11" l="1"/>
  <c r="BZ5" i="11" l="1"/>
  <c r="CA5" i="11" l="1"/>
  <c r="CB5" i="11" l="1"/>
  <c r="CC5" i="11" l="1"/>
  <c r="CD5" i="11" l="1"/>
  <c r="CE5" i="11" l="1"/>
  <c r="CF5" i="11" l="1"/>
  <c r="CG5" i="11" l="1"/>
</calcChain>
</file>

<file path=xl/sharedStrings.xml><?xml version="1.0" encoding="utf-8"?>
<sst xmlns="http://schemas.openxmlformats.org/spreadsheetml/2006/main" count="77" uniqueCount="76">
  <si>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</si>
  <si>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</si>
  <si>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</si>
  <si>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</si>
  <si>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</si>
  <si>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</si>
  <si>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</si>
  <si>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</si>
  <si>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</si>
  <si>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</si>
  <si>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TAREA</t>
  </si>
  <si>
    <t>Inicio del proyecto:</t>
  </si>
  <si>
    <t>Semana para mostrar:</t>
  </si>
  <si>
    <t>ASIGNADO
A</t>
  </si>
  <si>
    <t>PROGRESO</t>
  </si>
  <si>
    <t>INICIO</t>
  </si>
  <si>
    <t>FIN</t>
  </si>
  <si>
    <t>DÍAS</t>
  </si>
  <si>
    <t>Yourmeds</t>
  </si>
  <si>
    <t>1. Fase 1</t>
  </si>
  <si>
    <t>1.1 Definición proyecto APT</t>
  </si>
  <si>
    <t xml:space="preserve">    1.1.1  Descripción proyecto APT</t>
  </si>
  <si>
    <t>1.2. Creación de Backlog</t>
  </si>
  <si>
    <t>1.3. Planificación del levantamiento</t>
  </si>
  <si>
    <t>1.4. Creación historias de usuarios</t>
  </si>
  <si>
    <t xml:space="preserve">    1.4.1 Estimación de historias de usuarios</t>
  </si>
  <si>
    <t xml:space="preserve">    1.4.2 Comprometer historias de usuarios</t>
  </si>
  <si>
    <t>1.5. Identificación de tareas</t>
  </si>
  <si>
    <t xml:space="preserve">    1.5.1 Estimación de tareas</t>
  </si>
  <si>
    <t>1.6. Creación de spring backlog</t>
  </si>
  <si>
    <t>1.7. Analisis y diseño tecnico</t>
  </si>
  <si>
    <t>2. Fase 2</t>
  </si>
  <si>
    <t xml:space="preserve">2.3 Pruebas </t>
  </si>
  <si>
    <t>3. Fase 3</t>
  </si>
  <si>
    <t>2.4 Despliegue en la nube</t>
  </si>
  <si>
    <t>2.1 Desarrollo Frontend</t>
  </si>
  <si>
    <t>2.2 Desarrollo Backend</t>
  </si>
  <si>
    <t xml:space="preserve">    2.1.1 Diseño de interfaces</t>
  </si>
  <si>
    <t xml:space="preserve">    2.1.3 Validación de flujo de usuario</t>
  </si>
  <si>
    <t xml:space="preserve">    2.1.2 Implementación del flujo de interfaces</t>
  </si>
  <si>
    <t xml:space="preserve">    2.3.1 Pruebas unitarias</t>
  </si>
  <si>
    <t xml:space="preserve">    2.3.2 Pruebas de usabilidad</t>
  </si>
  <si>
    <t xml:space="preserve">    1.7.2 Refinación de backlog</t>
  </si>
  <si>
    <t xml:space="preserve">    1.7.3 Diseño de mockups</t>
  </si>
  <si>
    <t xml:space="preserve">    2.4.1 Implementación con docker</t>
  </si>
  <si>
    <t xml:space="preserve">    2.4.3 Integración base de datos desplegada</t>
  </si>
  <si>
    <t xml:space="preserve">    2.4.2 Desplegar aplicación</t>
  </si>
  <si>
    <t xml:space="preserve">    1.7.1  Captura y Analisis de requimientos</t>
  </si>
  <si>
    <t xml:space="preserve">  2.1 Implementación ambiente de desarrollo</t>
  </si>
  <si>
    <t>3.1 Fase cierre del proyecto</t>
  </si>
  <si>
    <t>3.1.4 Acta cierre de proyecto</t>
  </si>
  <si>
    <t>3.1.1  Desarrollo de manuales de usuario</t>
  </si>
  <si>
    <t xml:space="preserve"> </t>
  </si>
  <si>
    <t>x</t>
  </si>
  <si>
    <t xml:space="preserve">    2.1.5 Simulación de datos </t>
  </si>
  <si>
    <t xml:space="preserve">    2.1.6 Integración con Backend</t>
  </si>
  <si>
    <t xml:space="preserve">    2.1.4 Entregable informe de validación </t>
  </si>
  <si>
    <t xml:space="preserve">    2.3.3 Entregable Reporte de pruebas</t>
  </si>
  <si>
    <t>3.1.3 Marcha blanca</t>
  </si>
  <si>
    <t>3.2.4 Capacitación</t>
  </si>
  <si>
    <t>3.1.2 Entregable manual de usuario en y guia de uso en pdf</t>
  </si>
  <si>
    <t>1.7.4 Diseño de base de datos</t>
  </si>
  <si>
    <t>1.7.5 Arquitecura</t>
  </si>
  <si>
    <t xml:space="preserve">    2.2.1  Diseño de arquitectura backend</t>
  </si>
  <si>
    <t xml:space="preserve">    2.2.2  Integración backend–base de datos</t>
  </si>
  <si>
    <t xml:space="preserve">    2.2.3  Desarrollo de endpoints (registro, login, alarmas, etc.)</t>
  </si>
  <si>
    <t xml:space="preserve">    2.2.4  Encriptación de contraseñas</t>
  </si>
  <si>
    <t xml:space="preserve">    2.2.5  Autentificador de Inicio de Sesión al Sistema</t>
  </si>
  <si>
    <t xml:space="preserve">    1.1.2 Fundamentación</t>
  </si>
  <si>
    <t xml:space="preserve">    1.1.3 Objetivos</t>
  </si>
  <si>
    <t xml:space="preserve"> 1.1.4 Metodología</t>
  </si>
  <si>
    <t xml:space="preserve"> 1.1.5 Roles y Responsabilidades</t>
  </si>
  <si>
    <r>
      <rPr>
        <sz val="11"/>
        <color theme="1"/>
        <rFont val="Calibri"/>
        <family val="2"/>
        <scheme val="minor"/>
      </rPr>
      <t xml:space="preserve"> 1.1.6 Evidencias</t>
    </r>
    <r>
      <rPr>
        <b/>
        <sz val="11"/>
        <color theme="1"/>
        <rFont val="Calibri"/>
        <family val="2"/>
        <scheme val="minor"/>
      </rPr>
      <t xml:space="preserve"> -</t>
    </r>
    <r>
      <rPr>
        <sz val="11"/>
        <color theme="1"/>
        <rFont val="Calibri"/>
        <family val="2"/>
        <scheme val="minor"/>
      </rPr>
      <t xml:space="preserve">  Acta de reunión</t>
    </r>
  </si>
  <si>
    <t xml:space="preserve"> 1.1.7 Plan de trabajo</t>
  </si>
  <si>
    <t xml:space="preserve"> 1.1.8 Carta Gantt</t>
  </si>
  <si>
    <t xml:space="preserve">    1.4.3 Entregable Historias de usuarios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</si>
</sst>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s>
  <fonts count="30"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rgb="FFC00000"/>
        <bgColor indexed="64"/>
      </patternFill>
    </fill>
  </fills>
  <borders count="19">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14993743705557422"/>
      </left>
      <right/>
      <top style="medium">
        <color theme="0" tint="-0.14996795556505021"/>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7"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8" fontId="9" fillId="0" borderId="3">
      <alignment horizontal="center" vertical="center"/>
    </xf>
    <xf numFmtId="170"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8"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19" fillId="0" borderId="0" applyNumberFormat="0" applyFill="0" applyBorder="0" applyAlignment="0" applyProtection="0"/>
    <xf numFmtId="0" fontId="20" fillId="11" borderId="0" applyNumberFormat="0" applyBorder="0" applyAlignment="0" applyProtection="0"/>
    <xf numFmtId="0" fontId="21" fillId="12" borderId="0" applyNumberFormat="0" applyBorder="0" applyAlignment="0" applyProtection="0"/>
    <xf numFmtId="0" fontId="22" fillId="13" borderId="0" applyNumberFormat="0" applyBorder="0" applyAlignment="0" applyProtection="0"/>
    <xf numFmtId="0" fontId="23" fillId="14" borderId="11" applyNumberFormat="0" applyAlignment="0" applyProtection="0"/>
    <xf numFmtId="0" fontId="24" fillId="15" borderId="12" applyNumberFormat="0" applyAlignment="0" applyProtection="0"/>
    <xf numFmtId="0" fontId="25" fillId="15" borderId="11" applyNumberFormat="0" applyAlignment="0" applyProtection="0"/>
    <xf numFmtId="0" fontId="26" fillId="0" borderId="13" applyNumberFormat="0" applyFill="0" applyAlignment="0" applyProtection="0"/>
    <xf numFmtId="0" fontId="27" fillId="16" borderId="14" applyNumberFormat="0" applyAlignment="0" applyProtection="0"/>
    <xf numFmtId="0" fontId="28" fillId="0" borderId="0" applyNumberFormat="0" applyFill="0" applyBorder="0" applyAlignment="0" applyProtection="0"/>
    <xf numFmtId="0" fontId="9" fillId="17" borderId="15" applyNumberFormat="0" applyFont="0" applyAlignment="0" applyProtection="0"/>
    <xf numFmtId="0" fontId="29" fillId="0" borderId="0" applyNumberFormat="0" applyFill="0" applyBorder="0" applyAlignment="0" applyProtection="0"/>
    <xf numFmtId="0" fontId="6" fillId="0" borderId="16" applyNumberFormat="0" applyFill="0" applyAlignment="0" applyProtection="0"/>
    <xf numFmtId="0" fontId="16"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16"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6"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16"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16"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16"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9" fillId="41" borderId="0" applyNumberFormat="0" applyBorder="0" applyAlignment="0" applyProtection="0"/>
  </cellStyleXfs>
  <cellXfs count="13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0" borderId="1" xfId="0" applyFont="1" applyFill="1" applyBorder="1" applyAlignment="1">
      <alignment horizontal="left" vertical="center" indent="1"/>
    </xf>
    <xf numFmtId="0" fontId="7" fillId="10" borderId="1" xfId="0" applyFont="1" applyFill="1" applyBorder="1" applyAlignment="1">
      <alignment horizontal="center" vertical="center" wrapText="1"/>
    </xf>
    <xf numFmtId="0" fontId="12" fillId="9"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9" fontId="5" fillId="3" borderId="2" xfId="2" applyFont="1" applyFill="1" applyBorder="1" applyAlignment="1">
      <alignment horizontal="center" vertical="center"/>
    </xf>
    <xf numFmtId="0" fontId="6" fillId="7" borderId="2" xfId="0" applyFont="1" applyFill="1" applyBorder="1" applyAlignment="1">
      <alignment horizontal="left" vertical="center" indent="1"/>
    </xf>
    <xf numFmtId="9" fontId="5" fillId="7"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8"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7">
      <alignment vertical="top"/>
    </xf>
    <xf numFmtId="0" fontId="9" fillId="3" borderId="2" xfId="11" applyFill="1">
      <alignment horizontal="center" vertical="center"/>
    </xf>
    <xf numFmtId="0" fontId="9" fillId="7" borderId="2" xfId="11" applyFill="1">
      <alignment horizontal="center" vertical="center"/>
    </xf>
    <xf numFmtId="0" fontId="9" fillId="4" borderId="2" xfId="11" applyFill="1">
      <alignment horizontal="center" vertical="center"/>
    </xf>
    <xf numFmtId="0" fontId="9" fillId="5" borderId="2" xfId="11" applyFill="1">
      <alignment horizontal="center" vertical="center"/>
    </xf>
    <xf numFmtId="0" fontId="9" fillId="8" borderId="2" xfId="11" applyFill="1">
      <alignment horizontal="center" vertical="center"/>
    </xf>
    <xf numFmtId="0" fontId="9" fillId="0" borderId="2" xfId="11">
      <alignment horizontal="center" vertical="center"/>
    </xf>
    <xf numFmtId="0" fontId="9" fillId="4" borderId="2" xfId="12" applyFill="1">
      <alignment horizontal="left" vertical="center" indent="2"/>
    </xf>
    <xf numFmtId="0" fontId="9" fillId="0" borderId="2" xfId="12">
      <alignment horizontal="left" vertical="center" indent="2"/>
    </xf>
    <xf numFmtId="0" fontId="0" fillId="0" borderId="10" xfId="0" applyBorder="1"/>
    <xf numFmtId="170" fontId="0" fillId="7" borderId="2" xfId="0" applyNumberFormat="1" applyFill="1" applyBorder="1" applyAlignment="1">
      <alignment horizontal="center" vertical="center"/>
    </xf>
    <xf numFmtId="170" fontId="5" fillId="7" borderId="2" xfId="0" applyNumberFormat="1" applyFont="1" applyFill="1" applyBorder="1" applyAlignment="1">
      <alignment horizontal="center" vertical="center"/>
    </xf>
    <xf numFmtId="170" fontId="0" fillId="5" borderId="2" xfId="0" applyNumberFormat="1" applyFill="1" applyBorder="1" applyAlignment="1">
      <alignment horizontal="center" vertical="center"/>
    </xf>
    <xf numFmtId="170" fontId="5" fillId="5" borderId="2" xfId="0" applyNumberFormat="1" applyFont="1" applyFill="1" applyBorder="1" applyAlignment="1">
      <alignment horizontal="center" vertical="center"/>
    </xf>
    <xf numFmtId="170" fontId="9" fillId="8" borderId="2" xfId="10" applyFill="1">
      <alignment horizontal="center" vertical="center"/>
    </xf>
    <xf numFmtId="170" fontId="4" fillId="2" borderId="2" xfId="0" applyNumberFormat="1" applyFont="1" applyFill="1" applyBorder="1" applyAlignment="1">
      <alignment horizontal="left" vertical="center"/>
    </xf>
    <xf numFmtId="170" fontId="5" fillId="2" borderId="2" xfId="0" applyNumberFormat="1" applyFont="1" applyFill="1" applyBorder="1" applyAlignment="1">
      <alignment horizontal="center" vertical="center"/>
    </xf>
    <xf numFmtId="171" fontId="11" fillId="6" borderId="6" xfId="0" applyNumberFormat="1" applyFont="1" applyFill="1" applyBorder="1" applyAlignment="1">
      <alignment horizontal="center" vertical="center"/>
    </xf>
    <xf numFmtId="170" fontId="9" fillId="3" borderId="2" xfId="10" applyFill="1">
      <alignment horizontal="center" vertical="center"/>
    </xf>
    <xf numFmtId="170" fontId="9" fillId="4" borderId="2" xfId="10" applyFill="1">
      <alignment horizontal="center" vertical="center"/>
    </xf>
    <xf numFmtId="170" fontId="9" fillId="0" borderId="2" xfId="10">
      <alignment horizontal="center" vertical="center"/>
    </xf>
    <xf numFmtId="0" fontId="0" fillId="42" borderId="9" xfId="0" applyFill="1" applyBorder="1" applyAlignment="1">
      <alignment vertical="center"/>
    </xf>
    <xf numFmtId="0" fontId="0" fillId="42" borderId="9" xfId="0" applyFill="1" applyBorder="1" applyAlignment="1">
      <alignment horizontal="right" vertical="center"/>
    </xf>
    <xf numFmtId="171" fontId="11" fillId="6" borderId="6" xfId="0" applyNumberFormat="1" applyFont="1" applyFill="1" applyBorder="1" applyAlignment="1">
      <alignment horizontal="center" vertical="center" wrapText="1"/>
    </xf>
    <xf numFmtId="0" fontId="17" fillId="0" borderId="0" xfId="0" applyFont="1"/>
    <xf numFmtId="0" fontId="0" fillId="0" borderId="0" xfId="0" applyAlignment="1">
      <alignment horizontal="center" vertical="center"/>
    </xf>
    <xf numFmtId="0" fontId="6" fillId="3" borderId="2" xfId="11" applyFont="1" applyFill="1">
      <alignment horizontal="center" vertical="center"/>
    </xf>
    <xf numFmtId="0" fontId="6" fillId="4" borderId="2" xfId="12" applyFont="1" applyFill="1">
      <alignment horizontal="left" vertical="center" indent="2"/>
    </xf>
    <xf numFmtId="0" fontId="6" fillId="42" borderId="2" xfId="0" applyFont="1" applyFill="1" applyBorder="1" applyAlignment="1">
      <alignment horizontal="left" vertical="center" indent="1"/>
    </xf>
    <xf numFmtId="0" fontId="9" fillId="42" borderId="2" xfId="11" applyFill="1">
      <alignment horizontal="center" vertical="center"/>
    </xf>
    <xf numFmtId="9" fontId="5" fillId="42" borderId="2" xfId="2" applyFont="1" applyFill="1" applyBorder="1" applyAlignment="1">
      <alignment horizontal="center" vertical="center"/>
    </xf>
    <xf numFmtId="170" fontId="0" fillId="42" borderId="2" xfId="0" applyNumberFormat="1" applyFill="1" applyBorder="1" applyAlignment="1">
      <alignment horizontal="center" vertical="center"/>
    </xf>
    <xf numFmtId="170" fontId="5" fillId="42" borderId="2" xfId="0" applyNumberFormat="1" applyFont="1" applyFill="1" applyBorder="1" applyAlignment="1">
      <alignment horizontal="center" vertical="center"/>
    </xf>
    <xf numFmtId="0" fontId="9" fillId="42" borderId="2" xfId="12" applyFill="1">
      <alignment horizontal="left" vertical="center" indent="2"/>
    </xf>
    <xf numFmtId="170" fontId="9" fillId="42" borderId="2" xfId="10" applyFill="1">
      <alignment horizontal="center" vertical="center"/>
    </xf>
    <xf numFmtId="0" fontId="5" fillId="3" borderId="2" xfId="0" applyFont="1" applyFill="1" applyBorder="1" applyAlignment="1">
      <alignment horizontal="center" vertical="center"/>
    </xf>
    <xf numFmtId="0" fontId="5" fillId="7" borderId="2" xfId="0" applyFont="1" applyFill="1" applyBorder="1" applyAlignment="1">
      <alignment horizontal="center" vertical="center"/>
    </xf>
    <xf numFmtId="0" fontId="5" fillId="4" borderId="2" xfId="0" applyFont="1" applyFill="1" applyBorder="1" applyAlignment="1">
      <alignment horizontal="center" vertical="center"/>
    </xf>
    <xf numFmtId="0" fontId="5" fillId="5" borderId="2" xfId="0" applyFont="1" applyFill="1" applyBorder="1" applyAlignment="1">
      <alignment horizontal="center" vertical="center"/>
    </xf>
    <xf numFmtId="0" fontId="5" fillId="8" borderId="2" xfId="0" applyFont="1" applyFill="1" applyBorder="1" applyAlignment="1">
      <alignment horizontal="center" vertical="center"/>
    </xf>
    <xf numFmtId="0" fontId="0" fillId="4" borderId="2" xfId="12" applyFont="1" applyFill="1">
      <alignment horizontal="left" vertical="center" indent="2"/>
    </xf>
    <xf numFmtId="171" fontId="11" fillId="43" borderId="6" xfId="0" applyNumberFormat="1" applyFont="1" applyFill="1" applyBorder="1" applyAlignment="1">
      <alignment horizontal="center" vertical="center"/>
    </xf>
    <xf numFmtId="0" fontId="0" fillId="43" borderId="9" xfId="0" applyFill="1" applyBorder="1" applyAlignment="1">
      <alignment vertical="center"/>
    </xf>
    <xf numFmtId="0" fontId="0" fillId="42" borderId="0" xfId="0" applyFill="1"/>
    <xf numFmtId="0" fontId="0" fillId="42" borderId="0" xfId="0" applyFill="1" applyAlignment="1">
      <alignment vertical="center"/>
    </xf>
    <xf numFmtId="0" fontId="16" fillId="42" borderId="0" xfId="3" applyFill="1" applyAlignment="1">
      <alignment wrapText="1"/>
    </xf>
    <xf numFmtId="0" fontId="0" fillId="4" borderId="9" xfId="0" applyFill="1" applyBorder="1" applyAlignment="1">
      <alignment vertical="center"/>
    </xf>
    <xf numFmtId="0" fontId="0" fillId="4" borderId="0" xfId="0" applyFill="1"/>
    <xf numFmtId="0" fontId="0" fillId="4" borderId="0" xfId="0" applyFill="1" applyAlignment="1">
      <alignment vertical="center"/>
    </xf>
    <xf numFmtId="0" fontId="6" fillId="44" borderId="2" xfId="12" applyFont="1" applyFill="1">
      <alignment horizontal="left" vertical="center" indent="2"/>
    </xf>
    <xf numFmtId="0" fontId="9" fillId="44" borderId="2" xfId="11" applyFill="1">
      <alignment horizontal="center" vertical="center"/>
    </xf>
    <xf numFmtId="9" fontId="5" fillId="44" borderId="2" xfId="2" applyFont="1" applyFill="1" applyBorder="1" applyAlignment="1">
      <alignment horizontal="center" vertical="center"/>
    </xf>
    <xf numFmtId="170" fontId="9" fillId="44" borderId="2" xfId="10" applyFill="1">
      <alignment horizontal="center" vertical="center"/>
    </xf>
    <xf numFmtId="0" fontId="5" fillId="44" borderId="2" xfId="0" applyFont="1" applyFill="1" applyBorder="1" applyAlignment="1">
      <alignment horizontal="center" vertical="center"/>
    </xf>
    <xf numFmtId="0" fontId="0" fillId="44" borderId="9" xfId="0" applyFill="1" applyBorder="1" applyAlignment="1">
      <alignment vertical="center"/>
    </xf>
    <xf numFmtId="0" fontId="0" fillId="44" borderId="0" xfId="0" applyFill="1"/>
    <xf numFmtId="0" fontId="0" fillId="44" borderId="0" xfId="0" applyFill="1" applyAlignment="1">
      <alignment vertical="center"/>
    </xf>
    <xf numFmtId="0" fontId="6" fillId="45" borderId="2" xfId="0" applyFont="1" applyFill="1" applyBorder="1" applyAlignment="1">
      <alignment horizontal="left" vertical="center" indent="1"/>
    </xf>
    <xf numFmtId="0" fontId="9" fillId="45" borderId="2" xfId="11" applyFill="1">
      <alignment horizontal="center" vertical="center"/>
    </xf>
    <xf numFmtId="9" fontId="5" fillId="45" borderId="2" xfId="2" applyFont="1" applyFill="1" applyBorder="1" applyAlignment="1">
      <alignment horizontal="center" vertical="center"/>
    </xf>
    <xf numFmtId="170" fontId="0" fillId="45" borderId="2" xfId="0" applyNumberFormat="1" applyFill="1" applyBorder="1" applyAlignment="1">
      <alignment horizontal="center" vertical="center"/>
    </xf>
    <xf numFmtId="170" fontId="5" fillId="45" borderId="2" xfId="0" applyNumberFormat="1" applyFont="1" applyFill="1" applyBorder="1" applyAlignment="1">
      <alignment horizontal="center" vertical="center"/>
    </xf>
    <xf numFmtId="0" fontId="5" fillId="45" borderId="2" xfId="0" applyFont="1" applyFill="1" applyBorder="1" applyAlignment="1">
      <alignment horizontal="center" vertical="center"/>
    </xf>
    <xf numFmtId="0" fontId="0" fillId="45" borderId="0" xfId="0" applyFill="1"/>
    <xf numFmtId="0" fontId="0" fillId="45" borderId="0" xfId="0" applyFill="1" applyAlignment="1">
      <alignment vertical="center"/>
    </xf>
    <xf numFmtId="0" fontId="16" fillId="42" borderId="0" xfId="3" applyFill="1"/>
    <xf numFmtId="0" fontId="6" fillId="44" borderId="2" xfId="11" applyFont="1" applyFill="1">
      <alignment horizontal="center" vertical="center"/>
    </xf>
    <xf numFmtId="0" fontId="6" fillId="4" borderId="2" xfId="0" applyFont="1" applyFill="1" applyBorder="1" applyAlignment="1">
      <alignment horizontal="left" vertical="center" indent="1"/>
    </xf>
    <xf numFmtId="170" fontId="0" fillId="4" borderId="2" xfId="0" applyNumberFormat="1" applyFill="1" applyBorder="1" applyAlignment="1">
      <alignment horizontal="center" vertical="center"/>
    </xf>
    <xf numFmtId="170" fontId="5" fillId="4" borderId="2" xfId="0" applyNumberFormat="1" applyFont="1" applyFill="1" applyBorder="1" applyAlignment="1">
      <alignment horizontal="center" vertical="center"/>
    </xf>
    <xf numFmtId="0" fontId="5" fillId="42" borderId="2" xfId="0" applyFont="1" applyFill="1" applyBorder="1" applyAlignment="1">
      <alignment horizontal="center" vertical="center"/>
    </xf>
    <xf numFmtId="0" fontId="6" fillId="8" borderId="2" xfId="11" applyFont="1" applyFill="1" applyAlignment="1">
      <alignment horizontal="left" vertical="center" indent="2"/>
    </xf>
    <xf numFmtId="0" fontId="9" fillId="8" borderId="2" xfId="12" applyFill="1" applyAlignment="1">
      <alignment horizontal="left" vertical="center" indent="3"/>
    </xf>
    <xf numFmtId="0" fontId="6" fillId="3" borderId="2" xfId="12" applyFont="1" applyFill="1" applyAlignment="1">
      <alignment horizontal="left" vertical="center" indent="3"/>
    </xf>
    <xf numFmtId="0" fontId="6" fillId="3" borderId="2" xfId="12" applyFont="1" applyFill="1" applyAlignment="1">
      <alignment horizontal="left" vertical="center" indent="1"/>
    </xf>
    <xf numFmtId="0" fontId="9" fillId="3" borderId="2" xfId="12" applyFill="1" applyAlignment="1">
      <alignment horizontal="left" vertical="center" indent="1"/>
    </xf>
    <xf numFmtId="0" fontId="6" fillId="44" borderId="2" xfId="12" applyFont="1" applyFill="1" applyAlignment="1">
      <alignment horizontal="left" vertical="center" indent="1"/>
    </xf>
    <xf numFmtId="0" fontId="9" fillId="3" borderId="2" xfId="12" applyFill="1">
      <alignment horizontal="left" vertical="center" indent="2"/>
    </xf>
    <xf numFmtId="0" fontId="9" fillId="3" borderId="2" xfId="12" applyFill="1" applyAlignment="1">
      <alignment horizontal="left" vertical="center" indent="3"/>
    </xf>
    <xf numFmtId="0" fontId="0" fillId="3" borderId="2" xfId="12" applyFont="1" applyFill="1">
      <alignment horizontal="left" vertical="center" indent="2"/>
    </xf>
    <xf numFmtId="0" fontId="0" fillId="46" borderId="9" xfId="0" applyFill="1" applyBorder="1" applyAlignment="1">
      <alignment vertical="center"/>
    </xf>
    <xf numFmtId="0" fontId="0" fillId="45" borderId="17" xfId="0" applyFill="1" applyBorder="1" applyAlignment="1">
      <alignment horizontal="center" vertical="center"/>
    </xf>
    <xf numFmtId="0" fontId="0" fillId="45" borderId="2" xfId="0" applyFill="1" applyBorder="1" applyAlignment="1">
      <alignment horizontal="center" vertical="center"/>
    </xf>
    <xf numFmtId="0" fontId="0" fillId="45" borderId="18" xfId="0" applyFill="1" applyBorder="1" applyAlignment="1">
      <alignment horizontal="center" vertical="center"/>
    </xf>
    <xf numFmtId="0" fontId="0" fillId="7" borderId="17" xfId="0" applyFill="1" applyBorder="1" applyAlignment="1">
      <alignment horizontal="center" vertical="center"/>
    </xf>
    <xf numFmtId="0" fontId="0" fillId="7" borderId="2" xfId="0" applyFill="1" applyBorder="1" applyAlignment="1">
      <alignment horizontal="center" vertical="center"/>
    </xf>
    <xf numFmtId="0" fontId="0" fillId="7" borderId="18" xfId="0" applyFill="1" applyBorder="1" applyAlignment="1">
      <alignment horizontal="center" vertical="center"/>
    </xf>
    <xf numFmtId="0" fontId="0" fillId="5" borderId="17" xfId="0" applyFill="1" applyBorder="1" applyAlignment="1">
      <alignment horizontal="center" vertical="center"/>
    </xf>
    <xf numFmtId="0" fontId="0" fillId="5" borderId="2" xfId="0" applyFill="1" applyBorder="1" applyAlignment="1">
      <alignment horizontal="center" vertical="center"/>
    </xf>
    <xf numFmtId="0" fontId="0" fillId="5" borderId="18" xfId="0" applyFill="1" applyBorder="1" applyAlignment="1">
      <alignment horizontal="center" vertical="center"/>
    </xf>
    <xf numFmtId="169" fontId="0" fillId="6" borderId="4" xfId="0" applyNumberFormat="1" applyFill="1" applyBorder="1" applyAlignment="1">
      <alignment horizontal="center" vertical="center"/>
    </xf>
    <xf numFmtId="169" fontId="0" fillId="6" borderId="1" xfId="0" applyNumberFormat="1" applyFill="1" applyBorder="1" applyAlignment="1">
      <alignment horizontal="center" vertical="center"/>
    </xf>
    <xf numFmtId="169" fontId="0" fillId="6" borderId="5" xfId="0" applyNumberFormat="1" applyFill="1" applyBorder="1" applyAlignment="1">
      <alignment horizontal="center" vertical="center"/>
    </xf>
    <xf numFmtId="169" fontId="0" fillId="6" borderId="4" xfId="0" applyNumberFormat="1" applyFill="1" applyBorder="1" applyAlignment="1">
      <alignment horizontal="center" vertical="center" wrapText="1"/>
    </xf>
    <xf numFmtId="169" fontId="0" fillId="6" borderId="1" xfId="0" applyNumberFormat="1" applyFill="1" applyBorder="1" applyAlignment="1">
      <alignment horizontal="center" vertical="center" wrapText="1"/>
    </xf>
    <xf numFmtId="169" fontId="0" fillId="6" borderId="5" xfId="0" applyNumberFormat="1" applyFill="1" applyBorder="1" applyAlignment="1">
      <alignment horizontal="center" vertical="center" wrapText="1"/>
    </xf>
    <xf numFmtId="0" fontId="9" fillId="0" borderId="0" xfId="8">
      <alignment horizontal="right" indent="1"/>
    </xf>
    <xf numFmtId="0" fontId="9" fillId="0" borderId="7" xfId="8" applyBorder="1">
      <alignment horizontal="right" indent="1"/>
    </xf>
    <xf numFmtId="168" fontId="9" fillId="0" borderId="3" xfId="9">
      <alignment horizontal="center" vertic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2">
    <dxf>
      <fill>
        <patternFill>
          <bgColor rgb="FFC00000"/>
        </patternFill>
      </fill>
      <border>
        <left/>
        <right/>
      </border>
    </dxf>
    <dxf>
      <fill>
        <patternFill>
          <bgColor theme="6" tint="-0.24994659260841701"/>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EDA92F"/>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Q72"/>
  <sheetViews>
    <sheetView showGridLines="0" tabSelected="1" showRuler="0" topLeftCell="B1" zoomScale="70" zoomScaleNormal="70" zoomScalePageLayoutView="70" workbookViewId="0">
      <pane ySplit="5" topLeftCell="A13" activePane="bottomLeft" state="frozen"/>
      <selection pane="bottomLeft" activeCell="L22" sqref="L22"/>
    </sheetView>
  </sheetViews>
  <sheetFormatPr baseColWidth="10" defaultColWidth="9.140625" defaultRowHeight="30" customHeight="1" x14ac:dyDescent="0.25"/>
  <cols>
    <col min="1" max="1" width="2.7109375" style="30" customWidth="1"/>
    <col min="2" max="2" width="29.42578125" customWidth="1"/>
    <col min="3" max="3" width="30.7109375" customWidth="1"/>
    <col min="4" max="4" width="10.7109375" customWidth="1"/>
    <col min="5" max="5" width="10.42578125" style="5" customWidth="1"/>
    <col min="6" max="6" width="10.42578125" customWidth="1"/>
    <col min="7" max="7" width="2.140625" customWidth="1"/>
    <col min="8" max="8" width="0.28515625" style="60" customWidth="1"/>
    <col min="9" max="15" width="4.7109375" customWidth="1"/>
    <col min="16" max="19" width="4.7109375" style="3" customWidth="1"/>
    <col min="20" max="20" width="6.7109375" style="3" customWidth="1"/>
    <col min="21" max="24" width="4.7109375" customWidth="1"/>
    <col min="25" max="25" width="5.7109375" customWidth="1"/>
    <col min="26" max="29" width="4.7109375" customWidth="1"/>
    <col min="30" max="30" width="8.7109375" customWidth="1"/>
    <col min="31" max="33" width="4.7109375" customWidth="1"/>
    <col min="34" max="34" width="5" customWidth="1"/>
    <col min="35" max="35" width="8.140625" customWidth="1"/>
    <col min="36" max="39" width="4.7109375" customWidth="1"/>
    <col min="40" max="40" width="8" customWidth="1"/>
    <col min="41" max="41" width="4.7109375" customWidth="1"/>
    <col min="42" max="42" width="5.140625" customWidth="1"/>
    <col min="43" max="69" width="4.7109375" customWidth="1"/>
    <col min="70" max="70" width="8.28515625" customWidth="1"/>
    <col min="71" max="74" width="4.7109375" customWidth="1"/>
    <col min="75" max="75" width="9.5703125" customWidth="1"/>
    <col min="76" max="79" width="4.7109375" customWidth="1"/>
    <col min="80" max="80" width="7.7109375" customWidth="1"/>
    <col min="81" max="85" width="4.7109375" customWidth="1"/>
  </cols>
  <sheetData>
    <row r="1" spans="1:121" ht="30" customHeight="1" x14ac:dyDescent="0.45">
      <c r="A1" s="31" t="s">
        <v>0</v>
      </c>
      <c r="B1" s="34" t="s">
        <v>18</v>
      </c>
      <c r="C1" s="1"/>
      <c r="D1" s="2"/>
      <c r="E1" s="4"/>
      <c r="F1" s="29"/>
      <c r="H1" s="29"/>
      <c r="I1" s="59"/>
    </row>
    <row r="2" spans="1:121" ht="30" customHeight="1" x14ac:dyDescent="0.25">
      <c r="A2" s="30" t="s">
        <v>1</v>
      </c>
      <c r="B2" s="35"/>
      <c r="C2" s="131" t="s">
        <v>11</v>
      </c>
      <c r="D2" s="132"/>
      <c r="E2" s="133">
        <f>DATE(2025,8,22)</f>
        <v>45891</v>
      </c>
      <c r="F2" s="133"/>
    </row>
    <row r="3" spans="1:121" ht="30" customHeight="1" x14ac:dyDescent="0.25">
      <c r="A3" s="31" t="s">
        <v>2</v>
      </c>
      <c r="C3" s="131" t="s">
        <v>12</v>
      </c>
      <c r="D3" s="132"/>
      <c r="E3" s="7">
        <v>1</v>
      </c>
      <c r="I3" s="128">
        <f>I4</f>
        <v>45890</v>
      </c>
      <c r="J3" s="129"/>
      <c r="K3" s="129"/>
      <c r="L3" s="129"/>
      <c r="M3" s="129"/>
      <c r="N3" s="129"/>
      <c r="O3" s="130"/>
      <c r="P3" s="125">
        <f>P4</f>
        <v>45901</v>
      </c>
      <c r="Q3" s="126"/>
      <c r="R3" s="126"/>
      <c r="S3" s="126"/>
      <c r="T3" s="127"/>
      <c r="U3" s="125">
        <f>U4</f>
        <v>45908</v>
      </c>
      <c r="V3" s="126"/>
      <c r="W3" s="126"/>
      <c r="X3" s="126"/>
      <c r="Y3" s="127"/>
      <c r="Z3" s="125">
        <f t="shared" ref="Z3" si="0">Z4</f>
        <v>45915</v>
      </c>
      <c r="AA3" s="126"/>
      <c r="AB3" s="126"/>
      <c r="AC3" s="126"/>
      <c r="AD3" s="127"/>
      <c r="AE3" s="128">
        <f t="shared" ref="AE3" si="1">AE4</f>
        <v>45922</v>
      </c>
      <c r="AF3" s="129"/>
      <c r="AG3" s="129"/>
      <c r="AH3" s="129"/>
      <c r="AI3" s="130"/>
      <c r="AJ3" s="125">
        <f t="shared" ref="AJ3" si="2">AJ4</f>
        <v>45929</v>
      </c>
      <c r="AK3" s="126"/>
      <c r="AL3" s="126"/>
      <c r="AM3" s="126"/>
      <c r="AN3" s="127"/>
      <c r="AO3" s="125">
        <f>AO4</f>
        <v>45936</v>
      </c>
      <c r="AP3" s="126"/>
      <c r="AQ3" s="126"/>
      <c r="AR3" s="126"/>
      <c r="AS3" s="127"/>
      <c r="AT3" s="125">
        <f t="shared" ref="AT3" si="3">AT4</f>
        <v>45943</v>
      </c>
      <c r="AU3" s="126"/>
      <c r="AV3" s="126"/>
      <c r="AW3" s="126"/>
      <c r="AX3" s="127"/>
      <c r="AY3" s="125">
        <f t="shared" ref="AY3" si="4">AY4</f>
        <v>45950</v>
      </c>
      <c r="AZ3" s="126"/>
      <c r="BA3" s="126"/>
      <c r="BB3" s="126"/>
      <c r="BC3" s="127"/>
      <c r="BD3" s="125">
        <f t="shared" ref="BD3" si="5">BD4</f>
        <v>45957</v>
      </c>
      <c r="BE3" s="126"/>
      <c r="BF3" s="126"/>
      <c r="BG3" s="126"/>
      <c r="BH3" s="127"/>
      <c r="BI3" s="125">
        <f t="shared" ref="BI3" si="6">BI4</f>
        <v>45964</v>
      </c>
      <c r="BJ3" s="126"/>
      <c r="BK3" s="126"/>
      <c r="BL3" s="126"/>
      <c r="BM3" s="127"/>
      <c r="BN3" s="125">
        <f t="shared" ref="BN3" si="7">BN4</f>
        <v>45971</v>
      </c>
      <c r="BO3" s="126"/>
      <c r="BP3" s="126"/>
      <c r="BQ3" s="126"/>
      <c r="BR3" s="127"/>
      <c r="BS3" s="125">
        <f t="shared" ref="BS3" si="8">BS4</f>
        <v>45978</v>
      </c>
      <c r="BT3" s="126"/>
      <c r="BU3" s="126"/>
      <c r="BV3" s="126"/>
      <c r="BW3" s="127"/>
      <c r="BX3" s="125">
        <f t="shared" ref="BX3" si="9">BX4</f>
        <v>45985</v>
      </c>
      <c r="BY3" s="126"/>
      <c r="BZ3" s="126"/>
      <c r="CA3" s="126"/>
      <c r="CB3" s="127"/>
      <c r="CC3" s="125">
        <f t="shared" ref="CC3" si="10">CC4</f>
        <v>45992</v>
      </c>
      <c r="CD3" s="126"/>
      <c r="CE3" s="126"/>
      <c r="CF3" s="126"/>
      <c r="CG3" s="127"/>
    </row>
    <row r="4" spans="1:121" ht="15" customHeight="1" x14ac:dyDescent="0.25">
      <c r="A4" s="31" t="s">
        <v>3</v>
      </c>
      <c r="B4" s="44"/>
      <c r="C4" s="44"/>
      <c r="D4" s="44"/>
      <c r="E4" s="44"/>
      <c r="F4" s="44"/>
      <c r="G4" s="44"/>
      <c r="I4" s="58">
        <f t="shared" ref="I4:AN4" si="11">WORKDAY(Inicio_del_proyecto-1, (Semana_para_mostrar-1)*5 + COLUMN(A1)-1)</f>
        <v>45890</v>
      </c>
      <c r="J4" s="58">
        <f t="shared" si="11"/>
        <v>45891</v>
      </c>
      <c r="K4" s="58">
        <f>WORKDAY(Inicio_del_proyecto-1, (Semana_para_mostrar-1)*5 + COLUMN(C1)-1)</f>
        <v>45894</v>
      </c>
      <c r="L4" s="58">
        <f t="shared" si="11"/>
        <v>45895</v>
      </c>
      <c r="M4" s="58">
        <f t="shared" si="11"/>
        <v>45896</v>
      </c>
      <c r="N4" s="58">
        <f t="shared" si="11"/>
        <v>45897</v>
      </c>
      <c r="O4" s="58">
        <f t="shared" si="11"/>
        <v>45898</v>
      </c>
      <c r="P4" s="52">
        <f t="shared" si="11"/>
        <v>45901</v>
      </c>
      <c r="Q4" s="52">
        <f t="shared" si="11"/>
        <v>45902</v>
      </c>
      <c r="R4" s="52">
        <f t="shared" si="11"/>
        <v>45903</v>
      </c>
      <c r="S4" s="52">
        <f t="shared" si="11"/>
        <v>45904</v>
      </c>
      <c r="T4" s="52">
        <f t="shared" si="11"/>
        <v>45905</v>
      </c>
      <c r="U4" s="52">
        <f t="shared" si="11"/>
        <v>45908</v>
      </c>
      <c r="V4" s="52">
        <f t="shared" si="11"/>
        <v>45909</v>
      </c>
      <c r="W4" s="52">
        <f t="shared" si="11"/>
        <v>45910</v>
      </c>
      <c r="X4" s="52">
        <f t="shared" si="11"/>
        <v>45911</v>
      </c>
      <c r="Y4" s="52">
        <f t="shared" si="11"/>
        <v>45912</v>
      </c>
      <c r="Z4" s="52">
        <f t="shared" si="11"/>
        <v>45915</v>
      </c>
      <c r="AA4" s="52">
        <f t="shared" si="11"/>
        <v>45916</v>
      </c>
      <c r="AB4" s="52">
        <f t="shared" si="11"/>
        <v>45917</v>
      </c>
      <c r="AC4" s="76">
        <f t="shared" si="11"/>
        <v>45918</v>
      </c>
      <c r="AD4" s="76">
        <f t="shared" si="11"/>
        <v>45919</v>
      </c>
      <c r="AE4" s="52">
        <f t="shared" si="11"/>
        <v>45922</v>
      </c>
      <c r="AF4" s="52">
        <f t="shared" si="11"/>
        <v>45923</v>
      </c>
      <c r="AG4" s="52">
        <f t="shared" si="11"/>
        <v>45924</v>
      </c>
      <c r="AH4" s="52">
        <f t="shared" si="11"/>
        <v>45925</v>
      </c>
      <c r="AI4" s="52">
        <f t="shared" si="11"/>
        <v>45926</v>
      </c>
      <c r="AJ4" s="52">
        <f t="shared" si="11"/>
        <v>45929</v>
      </c>
      <c r="AK4" s="52">
        <f t="shared" si="11"/>
        <v>45930</v>
      </c>
      <c r="AL4" s="52">
        <f t="shared" si="11"/>
        <v>45931</v>
      </c>
      <c r="AM4" s="52">
        <f t="shared" si="11"/>
        <v>45932</v>
      </c>
      <c r="AN4" s="52">
        <f t="shared" si="11"/>
        <v>45933</v>
      </c>
      <c r="AO4" s="52">
        <f t="shared" ref="AO4:BT4" si="12">WORKDAY(Inicio_del_proyecto-1, (Semana_para_mostrar-1)*5 + COLUMN(AG1)-1)</f>
        <v>45936</v>
      </c>
      <c r="AP4" s="52">
        <f t="shared" si="12"/>
        <v>45937</v>
      </c>
      <c r="AQ4" s="52">
        <f t="shared" si="12"/>
        <v>45938</v>
      </c>
      <c r="AR4" s="52">
        <f t="shared" si="12"/>
        <v>45939</v>
      </c>
      <c r="AS4" s="52">
        <f t="shared" si="12"/>
        <v>45940</v>
      </c>
      <c r="AT4" s="52">
        <f t="shared" si="12"/>
        <v>45943</v>
      </c>
      <c r="AU4" s="52">
        <f t="shared" si="12"/>
        <v>45944</v>
      </c>
      <c r="AV4" s="52">
        <f t="shared" si="12"/>
        <v>45945</v>
      </c>
      <c r="AW4" s="52">
        <f t="shared" si="12"/>
        <v>45946</v>
      </c>
      <c r="AX4" s="52">
        <f t="shared" si="12"/>
        <v>45947</v>
      </c>
      <c r="AY4" s="52">
        <f t="shared" si="12"/>
        <v>45950</v>
      </c>
      <c r="AZ4" s="52">
        <f t="shared" si="12"/>
        <v>45951</v>
      </c>
      <c r="BA4" s="52">
        <f t="shared" si="12"/>
        <v>45952</v>
      </c>
      <c r="BB4" s="52">
        <f t="shared" si="12"/>
        <v>45953</v>
      </c>
      <c r="BC4" s="52">
        <f t="shared" si="12"/>
        <v>45954</v>
      </c>
      <c r="BD4" s="52">
        <f t="shared" si="12"/>
        <v>45957</v>
      </c>
      <c r="BE4" s="52">
        <f t="shared" si="12"/>
        <v>45958</v>
      </c>
      <c r="BF4" s="52">
        <f t="shared" si="12"/>
        <v>45959</v>
      </c>
      <c r="BG4" s="52">
        <f t="shared" si="12"/>
        <v>45960</v>
      </c>
      <c r="BH4" s="52">
        <f t="shared" si="12"/>
        <v>45961</v>
      </c>
      <c r="BI4" s="52">
        <f t="shared" si="12"/>
        <v>45964</v>
      </c>
      <c r="BJ4" s="52">
        <f t="shared" si="12"/>
        <v>45965</v>
      </c>
      <c r="BK4" s="52">
        <f t="shared" si="12"/>
        <v>45966</v>
      </c>
      <c r="BL4" s="52">
        <f t="shared" si="12"/>
        <v>45967</v>
      </c>
      <c r="BM4" s="52">
        <f t="shared" si="12"/>
        <v>45968</v>
      </c>
      <c r="BN4" s="52">
        <f t="shared" si="12"/>
        <v>45971</v>
      </c>
      <c r="BO4" s="52">
        <f t="shared" si="12"/>
        <v>45972</v>
      </c>
      <c r="BP4" s="52">
        <f t="shared" si="12"/>
        <v>45973</v>
      </c>
      <c r="BQ4" s="52">
        <f t="shared" si="12"/>
        <v>45974</v>
      </c>
      <c r="BR4" s="52">
        <f t="shared" si="12"/>
        <v>45975</v>
      </c>
      <c r="BS4" s="52">
        <f t="shared" si="12"/>
        <v>45978</v>
      </c>
      <c r="BT4" s="52">
        <f t="shared" si="12"/>
        <v>45979</v>
      </c>
      <c r="BU4" s="52">
        <f t="shared" ref="BU4:CG4" si="13">WORKDAY(Inicio_del_proyecto-1, (Semana_para_mostrar-1)*5 + COLUMN(BM1)-1)</f>
        <v>45980</v>
      </c>
      <c r="BV4" s="52">
        <f t="shared" si="13"/>
        <v>45981</v>
      </c>
      <c r="BW4" s="52">
        <f t="shared" si="13"/>
        <v>45982</v>
      </c>
      <c r="BX4" s="52">
        <f t="shared" si="13"/>
        <v>45985</v>
      </c>
      <c r="BY4" s="52">
        <f t="shared" si="13"/>
        <v>45986</v>
      </c>
      <c r="BZ4" s="52">
        <f t="shared" si="13"/>
        <v>45987</v>
      </c>
      <c r="CA4" s="52">
        <f t="shared" si="13"/>
        <v>45988</v>
      </c>
      <c r="CB4" s="52">
        <f t="shared" si="13"/>
        <v>45989</v>
      </c>
      <c r="CC4" s="52">
        <f t="shared" si="13"/>
        <v>45992</v>
      </c>
      <c r="CD4" s="52">
        <f t="shared" si="13"/>
        <v>45993</v>
      </c>
      <c r="CE4" s="52">
        <f t="shared" si="13"/>
        <v>45994</v>
      </c>
      <c r="CF4" s="52">
        <f t="shared" si="13"/>
        <v>45995</v>
      </c>
      <c r="CG4" s="52">
        <f t="shared" si="13"/>
        <v>45996</v>
      </c>
    </row>
    <row r="5" spans="1:121" ht="30" customHeight="1" thickBot="1" x14ac:dyDescent="0.3">
      <c r="A5" s="31" t="s">
        <v>4</v>
      </c>
      <c r="B5" s="8" t="s">
        <v>10</v>
      </c>
      <c r="C5" s="9" t="s">
        <v>13</v>
      </c>
      <c r="D5" s="9" t="s">
        <v>14</v>
      </c>
      <c r="E5" s="9" t="s">
        <v>15</v>
      </c>
      <c r="F5" s="9" t="s">
        <v>16</v>
      </c>
      <c r="G5" s="9"/>
      <c r="H5" s="9" t="s">
        <v>17</v>
      </c>
      <c r="I5" s="10" t="str">
        <f t="shared" ref="I5" si="14">LEFT(TEXT(I4,"ddd"),1)</f>
        <v>j</v>
      </c>
      <c r="J5" s="10" t="str">
        <f t="shared" ref="J5:AR5" si="15">LEFT(TEXT(J4,"ddd"),1)</f>
        <v>v</v>
      </c>
      <c r="K5" s="10" t="str">
        <f t="shared" si="15"/>
        <v>l</v>
      </c>
      <c r="L5" s="10" t="str">
        <f t="shared" si="15"/>
        <v>m</v>
      </c>
      <c r="M5" s="10" t="str">
        <f t="shared" si="15"/>
        <v>m</v>
      </c>
      <c r="N5" s="10" t="str">
        <f t="shared" si="15"/>
        <v>j</v>
      </c>
      <c r="O5" s="10" t="str">
        <f t="shared" si="15"/>
        <v>v</v>
      </c>
      <c r="P5" s="10" t="str">
        <f>LEFT(TEXT(P4,"ddd"),1)</f>
        <v>l</v>
      </c>
      <c r="Q5" s="10" t="str">
        <f>LEFT(TEXT(Q4,"ddd"),1)</f>
        <v>m</v>
      </c>
      <c r="R5" s="10" t="str">
        <f>LEFT(TEXT(R4,"ddd"),1)</f>
        <v>m</v>
      </c>
      <c r="S5" s="10" t="str">
        <f>LEFT(TEXT(S4,"ddd"),1)</f>
        <v>j</v>
      </c>
      <c r="T5" s="10" t="str">
        <f>LEFT(TEXT(T4,"ddd"),1)</f>
        <v>v</v>
      </c>
      <c r="U5" s="10" t="str">
        <f t="shared" si="15"/>
        <v>l</v>
      </c>
      <c r="V5" s="10" t="str">
        <f t="shared" si="15"/>
        <v>m</v>
      </c>
      <c r="W5" s="10" t="str">
        <f t="shared" si="15"/>
        <v>m</v>
      </c>
      <c r="X5" s="10" t="str">
        <f t="shared" si="15"/>
        <v>j</v>
      </c>
      <c r="Y5" s="10" t="str">
        <f t="shared" si="15"/>
        <v>v</v>
      </c>
      <c r="Z5" s="10" t="str">
        <f t="shared" si="15"/>
        <v>l</v>
      </c>
      <c r="AA5" s="10" t="str">
        <f t="shared" si="15"/>
        <v>m</v>
      </c>
      <c r="AB5" s="10" t="str">
        <f t="shared" si="15"/>
        <v>m</v>
      </c>
      <c r="AC5" s="10" t="str">
        <f t="shared" si="15"/>
        <v>j</v>
      </c>
      <c r="AD5" s="10" t="str">
        <f t="shared" si="15"/>
        <v>v</v>
      </c>
      <c r="AE5" s="10" t="str">
        <f t="shared" si="15"/>
        <v>l</v>
      </c>
      <c r="AF5" s="10" t="str">
        <f t="shared" si="15"/>
        <v>m</v>
      </c>
      <c r="AG5" s="10" t="str">
        <f t="shared" si="15"/>
        <v>m</v>
      </c>
      <c r="AH5" s="10" t="str">
        <f t="shared" si="15"/>
        <v>j</v>
      </c>
      <c r="AI5" s="10" t="str">
        <f t="shared" si="15"/>
        <v>v</v>
      </c>
      <c r="AJ5" s="10" t="str">
        <f t="shared" si="15"/>
        <v>l</v>
      </c>
      <c r="AK5" s="10" t="str">
        <f t="shared" si="15"/>
        <v>m</v>
      </c>
      <c r="AL5" s="10" t="str">
        <f t="shared" si="15"/>
        <v>m</v>
      </c>
      <c r="AM5" s="10" t="str">
        <f t="shared" si="15"/>
        <v>j</v>
      </c>
      <c r="AN5" s="10" t="str">
        <f t="shared" si="15"/>
        <v>v</v>
      </c>
      <c r="AO5" s="10" t="str">
        <f t="shared" si="15"/>
        <v>l</v>
      </c>
      <c r="AP5" s="10" t="str">
        <f t="shared" si="15"/>
        <v>m</v>
      </c>
      <c r="AQ5" s="10" t="str">
        <f t="shared" si="15"/>
        <v>m</v>
      </c>
      <c r="AR5" s="10" t="str">
        <f t="shared" si="15"/>
        <v>j</v>
      </c>
      <c r="AS5" s="10" t="str">
        <f t="shared" ref="AS5:CG5" si="16">LEFT(TEXT(AS4,"ddd"),1)</f>
        <v>v</v>
      </c>
      <c r="AT5" s="10" t="str">
        <f t="shared" si="16"/>
        <v>l</v>
      </c>
      <c r="AU5" s="10" t="str">
        <f t="shared" si="16"/>
        <v>m</v>
      </c>
      <c r="AV5" s="10" t="str">
        <f t="shared" si="16"/>
        <v>m</v>
      </c>
      <c r="AW5" s="10" t="str">
        <f t="shared" si="16"/>
        <v>j</v>
      </c>
      <c r="AX5" s="10" t="str">
        <f t="shared" si="16"/>
        <v>v</v>
      </c>
      <c r="AY5" s="10" t="str">
        <f t="shared" si="16"/>
        <v>l</v>
      </c>
      <c r="AZ5" s="10" t="str">
        <f t="shared" si="16"/>
        <v>m</v>
      </c>
      <c r="BA5" s="10" t="str">
        <f t="shared" si="16"/>
        <v>m</v>
      </c>
      <c r="BB5" s="10" t="str">
        <f t="shared" si="16"/>
        <v>j</v>
      </c>
      <c r="BC5" s="10" t="str">
        <f t="shared" si="16"/>
        <v>v</v>
      </c>
      <c r="BD5" s="10" t="str">
        <f t="shared" si="16"/>
        <v>l</v>
      </c>
      <c r="BE5" s="10" t="str">
        <f t="shared" si="16"/>
        <v>m</v>
      </c>
      <c r="BF5" s="10" t="str">
        <f t="shared" si="16"/>
        <v>m</v>
      </c>
      <c r="BG5" s="10" t="str">
        <f t="shared" si="16"/>
        <v>j</v>
      </c>
      <c r="BH5" s="10" t="str">
        <f t="shared" si="16"/>
        <v>v</v>
      </c>
      <c r="BI5" s="10" t="str">
        <f t="shared" si="16"/>
        <v>l</v>
      </c>
      <c r="BJ5" s="10" t="str">
        <f t="shared" si="16"/>
        <v>m</v>
      </c>
      <c r="BK5" s="10" t="str">
        <f t="shared" si="16"/>
        <v>m</v>
      </c>
      <c r="BL5" s="10" t="str">
        <f t="shared" si="16"/>
        <v>j</v>
      </c>
      <c r="BM5" s="10" t="str">
        <f t="shared" si="16"/>
        <v>v</v>
      </c>
      <c r="BN5" s="10" t="str">
        <f t="shared" si="16"/>
        <v>l</v>
      </c>
      <c r="BO5" s="10" t="str">
        <f t="shared" si="16"/>
        <v>m</v>
      </c>
      <c r="BP5" s="10" t="str">
        <f t="shared" si="16"/>
        <v>m</v>
      </c>
      <c r="BQ5" s="10" t="str">
        <f t="shared" si="16"/>
        <v>j</v>
      </c>
      <c r="BR5" s="10" t="str">
        <f t="shared" si="16"/>
        <v>v</v>
      </c>
      <c r="BS5" s="10" t="str">
        <f t="shared" si="16"/>
        <v>l</v>
      </c>
      <c r="BT5" s="10" t="str">
        <f t="shared" si="16"/>
        <v>m</v>
      </c>
      <c r="BU5" s="10" t="str">
        <f t="shared" si="16"/>
        <v>m</v>
      </c>
      <c r="BV5" s="10" t="str">
        <f t="shared" si="16"/>
        <v>j</v>
      </c>
      <c r="BW5" s="10" t="str">
        <f t="shared" si="16"/>
        <v>v</v>
      </c>
      <c r="BX5" s="10" t="str">
        <f t="shared" si="16"/>
        <v>l</v>
      </c>
      <c r="BY5" s="10" t="str">
        <f t="shared" si="16"/>
        <v>m</v>
      </c>
      <c r="BZ5" s="10" t="str">
        <f t="shared" si="16"/>
        <v>m</v>
      </c>
      <c r="CA5" s="10" t="str">
        <f t="shared" si="16"/>
        <v>j</v>
      </c>
      <c r="CB5" s="10" t="str">
        <f t="shared" si="16"/>
        <v>v</v>
      </c>
      <c r="CC5" s="10" t="str">
        <f t="shared" si="16"/>
        <v>l</v>
      </c>
      <c r="CD5" s="10" t="str">
        <f t="shared" si="16"/>
        <v>m</v>
      </c>
      <c r="CE5" s="10" t="str">
        <f t="shared" si="16"/>
        <v>m</v>
      </c>
      <c r="CF5" s="10" t="str">
        <f t="shared" si="16"/>
        <v>j</v>
      </c>
      <c r="CG5" s="10" t="str">
        <f t="shared" si="16"/>
        <v>v</v>
      </c>
      <c r="CJ5" t="s">
        <v>52</v>
      </c>
    </row>
    <row r="6" spans="1:121" ht="30" hidden="1" customHeight="1" thickBot="1" x14ac:dyDescent="0.3">
      <c r="A6" s="30" t="s">
        <v>5</v>
      </c>
      <c r="C6" s="33"/>
      <c r="E6"/>
      <c r="H6" s="60" t="str">
        <f>IF(OR(ISBLANK(task_start),ISBLANK(task_end)),"",task_end-task_start+1)</f>
        <v/>
      </c>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row>
    <row r="7" spans="1:121" s="99" customFormat="1" ht="30" customHeight="1" thickBot="1" x14ac:dyDescent="0.3">
      <c r="A7" s="80"/>
      <c r="B7" s="92" t="s">
        <v>19</v>
      </c>
      <c r="C7" s="93"/>
      <c r="D7" s="94"/>
      <c r="E7" s="95"/>
      <c r="F7" s="96"/>
      <c r="G7" s="97"/>
      <c r="H7" s="97" t="str">
        <f t="shared" ref="H7:H68" si="17">IF(OR(ISBLANK(task_start),ISBLANK(task_end)),"",task_end-task_start+1)</f>
        <v/>
      </c>
      <c r="I7" s="116"/>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c r="CC7" s="117"/>
      <c r="CD7" s="117"/>
      <c r="CE7" s="117"/>
      <c r="CF7" s="117"/>
      <c r="CG7" s="118"/>
      <c r="CH7" s="98"/>
      <c r="CI7" s="98"/>
      <c r="CJ7" s="98"/>
      <c r="CK7" s="98"/>
      <c r="CL7" s="98"/>
      <c r="CM7" s="98"/>
      <c r="CN7" s="98"/>
      <c r="CO7" s="98"/>
      <c r="CP7" s="98"/>
      <c r="CQ7" s="98"/>
      <c r="CR7" s="98"/>
      <c r="CS7" s="98"/>
      <c r="CT7" s="98"/>
      <c r="CU7" s="98"/>
      <c r="CV7" s="98"/>
      <c r="CW7" s="98"/>
      <c r="CX7" s="98"/>
      <c r="CY7" s="98"/>
      <c r="CZ7" s="98"/>
      <c r="DA7" s="98"/>
      <c r="DB7" s="98"/>
      <c r="DC7" s="98"/>
      <c r="DD7" s="98"/>
      <c r="DE7" s="98"/>
      <c r="DF7" s="98"/>
      <c r="DG7" s="98"/>
      <c r="DH7" s="98"/>
      <c r="DI7" s="98"/>
      <c r="DJ7" s="98"/>
      <c r="DK7" s="98"/>
      <c r="DL7" s="98"/>
      <c r="DM7" s="98"/>
      <c r="DN7" s="98"/>
      <c r="DO7" s="98"/>
      <c r="DP7" s="98"/>
      <c r="DQ7" s="98"/>
    </row>
    <row r="8" spans="1:121" s="91" customFormat="1" ht="30" customHeight="1" thickBot="1" x14ac:dyDescent="0.3">
      <c r="A8" s="80"/>
      <c r="B8" s="84" t="s">
        <v>20</v>
      </c>
      <c r="C8" s="85"/>
      <c r="D8" s="86"/>
      <c r="E8" s="87"/>
      <c r="F8" s="87"/>
      <c r="G8" s="88"/>
      <c r="H8" s="88" t="str">
        <f t="shared" si="17"/>
        <v/>
      </c>
      <c r="I8" s="89"/>
      <c r="J8" s="89"/>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89"/>
      <c r="AZ8" s="89"/>
      <c r="BA8" s="89"/>
      <c r="BB8" s="89"/>
      <c r="BC8" s="89"/>
      <c r="BD8" s="89"/>
      <c r="BE8" s="89"/>
      <c r="BF8" s="89"/>
      <c r="BG8" s="89"/>
      <c r="BH8" s="89"/>
      <c r="BI8" s="89"/>
      <c r="BJ8" s="89"/>
      <c r="BK8" s="89"/>
      <c r="BL8" s="89"/>
      <c r="BM8" s="89"/>
      <c r="BN8" s="89"/>
      <c r="BO8" s="89"/>
      <c r="BP8" s="89"/>
      <c r="BQ8" s="89"/>
      <c r="BR8" s="89"/>
      <c r="BS8" s="89"/>
      <c r="BT8" s="89"/>
      <c r="BU8" s="89"/>
      <c r="BV8" s="89"/>
      <c r="BW8" s="89"/>
      <c r="BX8" s="89"/>
      <c r="BY8" s="89"/>
      <c r="BZ8" s="89"/>
      <c r="CA8" s="89"/>
      <c r="CB8" s="89"/>
      <c r="CC8" s="89"/>
      <c r="CD8" s="89"/>
      <c r="CE8" s="89"/>
      <c r="CF8" s="89"/>
      <c r="CG8" s="89"/>
      <c r="CH8" s="90"/>
      <c r="CI8" s="90"/>
      <c r="CJ8" s="90"/>
      <c r="CK8" s="90"/>
      <c r="CL8" s="90"/>
      <c r="CM8" s="90"/>
      <c r="CN8" s="90"/>
      <c r="CO8" s="90"/>
      <c r="CP8" s="90"/>
      <c r="CQ8" s="90"/>
      <c r="CR8" s="90"/>
      <c r="CS8" s="90"/>
      <c r="CT8" s="90"/>
      <c r="CU8" s="90"/>
      <c r="CV8" s="90"/>
      <c r="CW8" s="90"/>
      <c r="CX8" s="90"/>
      <c r="CY8" s="90"/>
      <c r="CZ8" s="90"/>
      <c r="DA8" s="90"/>
      <c r="DB8" s="90"/>
      <c r="DC8" s="90"/>
      <c r="DD8" s="90"/>
      <c r="DE8" s="90"/>
      <c r="DF8" s="90"/>
      <c r="DG8" s="90"/>
      <c r="DH8" s="90"/>
      <c r="DI8" s="90"/>
      <c r="DJ8" s="90"/>
      <c r="DK8" s="90"/>
      <c r="DL8" s="90"/>
      <c r="DM8" s="90"/>
      <c r="DN8" s="90"/>
      <c r="DO8" s="90"/>
      <c r="DP8" s="90"/>
      <c r="DQ8" s="90"/>
    </row>
    <row r="9" spans="1:121" s="3" customFormat="1" ht="30" customHeight="1" thickBot="1" x14ac:dyDescent="0.3">
      <c r="A9" s="31" t="s">
        <v>6</v>
      </c>
      <c r="B9" s="112" t="s">
        <v>21</v>
      </c>
      <c r="C9" s="36"/>
      <c r="D9" s="15">
        <v>1</v>
      </c>
      <c r="E9" s="53">
        <v>45891</v>
      </c>
      <c r="F9" s="53">
        <v>45894</v>
      </c>
      <c r="G9" s="70"/>
      <c r="H9" s="14">
        <f>IF(OR(ISBLANK(task_start),ISBLANK(task_end)),"",task_end-task_start+1)</f>
        <v>4</v>
      </c>
      <c r="I9" s="26"/>
      <c r="J9" s="26"/>
      <c r="K9" s="26"/>
      <c r="L9" s="26"/>
      <c r="M9" s="26"/>
      <c r="N9" s="26"/>
      <c r="O9" s="26"/>
      <c r="P9" s="26"/>
      <c r="Q9" s="26"/>
      <c r="R9" s="26"/>
      <c r="S9" s="26"/>
      <c r="T9" s="26"/>
      <c r="U9" s="27"/>
      <c r="V9" s="27"/>
      <c r="W9" s="26"/>
      <c r="X9" s="26"/>
      <c r="Y9" s="26"/>
      <c r="Z9" s="26"/>
      <c r="AA9" s="26"/>
      <c r="AB9" s="26"/>
      <c r="AC9" s="77"/>
      <c r="AD9" s="77"/>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56"/>
      <c r="BR9" s="56"/>
      <c r="BS9" s="56"/>
      <c r="BT9" s="56"/>
      <c r="BU9" s="56"/>
      <c r="BV9" s="56"/>
      <c r="BW9" s="56"/>
      <c r="BX9" s="56"/>
      <c r="BY9" s="57"/>
      <c r="BZ9" s="57"/>
      <c r="CA9" s="56"/>
      <c r="CB9" s="56"/>
      <c r="CC9" s="56"/>
      <c r="CD9" s="56"/>
      <c r="CE9" s="56"/>
      <c r="CF9" s="56"/>
      <c r="CG9" s="56"/>
      <c r="CH9"/>
      <c r="CI9"/>
      <c r="CJ9"/>
      <c r="CK9"/>
      <c r="CL9"/>
      <c r="CM9"/>
      <c r="CN9"/>
      <c r="CO9"/>
      <c r="CP9"/>
      <c r="CQ9"/>
      <c r="CR9"/>
      <c r="CS9"/>
      <c r="CT9"/>
      <c r="CU9"/>
      <c r="CV9"/>
      <c r="CW9"/>
      <c r="CX9"/>
      <c r="CY9"/>
      <c r="CZ9"/>
      <c r="DA9"/>
      <c r="DB9"/>
      <c r="DC9"/>
      <c r="DD9"/>
      <c r="DE9"/>
      <c r="DF9"/>
      <c r="DG9"/>
      <c r="DH9"/>
      <c r="DI9"/>
      <c r="DJ9"/>
      <c r="DK9"/>
      <c r="DL9"/>
      <c r="DM9"/>
      <c r="DN9"/>
      <c r="DO9"/>
      <c r="DP9"/>
      <c r="DQ9"/>
    </row>
    <row r="10" spans="1:121" s="3" customFormat="1" ht="30" customHeight="1" thickBot="1" x14ac:dyDescent="0.3">
      <c r="A10" s="31"/>
      <c r="B10" s="112" t="s">
        <v>68</v>
      </c>
      <c r="C10" s="36"/>
      <c r="D10" s="15">
        <v>1</v>
      </c>
      <c r="E10" s="53">
        <v>45895</v>
      </c>
      <c r="F10" s="53">
        <v>45895</v>
      </c>
      <c r="G10" s="70"/>
      <c r="H10" s="14"/>
      <c r="I10" s="26"/>
      <c r="J10" s="26"/>
      <c r="K10" s="26"/>
      <c r="L10" s="26"/>
      <c r="M10" s="26"/>
      <c r="N10" s="26"/>
      <c r="O10" s="26"/>
      <c r="P10" s="26"/>
      <c r="Q10" s="26"/>
      <c r="R10" s="26"/>
      <c r="S10" s="26"/>
      <c r="T10" s="26"/>
      <c r="U10" s="27"/>
      <c r="V10" s="27"/>
      <c r="W10" s="26"/>
      <c r="X10" s="26"/>
      <c r="Y10" s="26"/>
      <c r="Z10" s="26"/>
      <c r="AA10" s="26"/>
      <c r="AB10" s="26"/>
      <c r="AC10" s="77"/>
      <c r="AD10" s="77"/>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56"/>
      <c r="BR10" s="56"/>
      <c r="BS10" s="56"/>
      <c r="BT10" s="56"/>
      <c r="BU10" s="56"/>
      <c r="BV10" s="56"/>
      <c r="BW10" s="56"/>
      <c r="BX10" s="56"/>
      <c r="BY10" s="57"/>
      <c r="BZ10" s="57"/>
      <c r="CA10" s="56"/>
      <c r="CB10" s="56"/>
      <c r="CC10" s="56"/>
      <c r="CD10" s="56"/>
      <c r="CE10" s="56"/>
      <c r="CF10" s="56"/>
      <c r="CG10" s="56"/>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row>
    <row r="11" spans="1:121" s="3" customFormat="1" ht="30" customHeight="1" thickBot="1" x14ac:dyDescent="0.3">
      <c r="A11" s="30"/>
      <c r="B11" s="112" t="s">
        <v>69</v>
      </c>
      <c r="C11" s="36"/>
      <c r="D11" s="15">
        <v>1</v>
      </c>
      <c r="E11" s="53">
        <v>45895</v>
      </c>
      <c r="F11" s="53">
        <f>E11+1</f>
        <v>45896</v>
      </c>
      <c r="G11" s="70"/>
      <c r="H11" s="14">
        <f t="shared" si="17"/>
        <v>2</v>
      </c>
      <c r="I11" s="26"/>
      <c r="J11" s="26"/>
      <c r="K11" s="26"/>
      <c r="L11" s="26"/>
      <c r="M11" s="26"/>
      <c r="N11" s="26"/>
      <c r="O11" s="26"/>
      <c r="P11" s="26"/>
      <c r="Q11" s="26"/>
      <c r="R11" s="26"/>
      <c r="S11" s="26"/>
      <c r="T11" s="26"/>
      <c r="U11" s="26"/>
      <c r="V11" s="26"/>
      <c r="W11" s="26"/>
      <c r="X11" s="26"/>
      <c r="Y11" s="26"/>
      <c r="Z11" s="26"/>
      <c r="AA11" s="26"/>
      <c r="AB11" s="26"/>
      <c r="AC11" s="77"/>
      <c r="AD11" s="77"/>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56"/>
      <c r="BR11" s="56"/>
      <c r="BS11" s="56"/>
      <c r="BT11" s="56"/>
      <c r="BU11" s="56"/>
      <c r="BV11" s="56"/>
      <c r="BW11" s="56"/>
      <c r="BX11" s="56"/>
      <c r="BY11" s="56"/>
      <c r="BZ11" s="56"/>
      <c r="CA11" s="56"/>
      <c r="CB11" s="56"/>
      <c r="CC11" s="56"/>
      <c r="CD11" s="56"/>
      <c r="CE11" s="56"/>
      <c r="CF11" s="56"/>
      <c r="CG11" s="56"/>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row>
    <row r="12" spans="1:121" s="3" customFormat="1" ht="30" customHeight="1" thickBot="1" x14ac:dyDescent="0.3">
      <c r="A12" s="30"/>
      <c r="B12" s="113" t="s">
        <v>70</v>
      </c>
      <c r="C12" s="36"/>
      <c r="D12" s="15">
        <v>1</v>
      </c>
      <c r="E12" s="53">
        <v>45896</v>
      </c>
      <c r="F12" s="53">
        <f>E12+1</f>
        <v>45897</v>
      </c>
      <c r="G12" s="70"/>
      <c r="H12" s="14"/>
      <c r="I12" s="26"/>
      <c r="J12" s="26"/>
      <c r="K12" s="26"/>
      <c r="L12" s="26"/>
      <c r="M12" s="26"/>
      <c r="N12" s="26"/>
      <c r="O12" s="26"/>
      <c r="P12" s="26"/>
      <c r="Q12" s="26"/>
      <c r="R12" s="26"/>
      <c r="S12" s="26"/>
      <c r="T12" s="26"/>
      <c r="U12" s="26"/>
      <c r="V12" s="26"/>
      <c r="W12" s="26"/>
      <c r="X12" s="26"/>
      <c r="Y12" s="26"/>
      <c r="Z12" s="26"/>
      <c r="AA12" s="26"/>
      <c r="AB12" s="26"/>
      <c r="AC12" s="77"/>
      <c r="AD12" s="77"/>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56"/>
      <c r="BR12" s="56"/>
      <c r="BS12" s="56"/>
      <c r="BT12" s="56"/>
      <c r="BU12" s="56"/>
      <c r="BV12" s="56"/>
      <c r="BW12" s="56"/>
      <c r="BX12" s="56"/>
      <c r="BY12" s="56"/>
      <c r="BZ12" s="56"/>
      <c r="CA12" s="56"/>
      <c r="CB12" s="56"/>
      <c r="CC12" s="56"/>
      <c r="CD12" s="56"/>
      <c r="CE12" s="56"/>
      <c r="CF12" s="56"/>
      <c r="CG12" s="56"/>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row>
    <row r="13" spans="1:121" s="3" customFormat="1" ht="30" customHeight="1" thickBot="1" x14ac:dyDescent="0.3">
      <c r="A13" s="30"/>
      <c r="B13" s="113" t="s">
        <v>71</v>
      </c>
      <c r="C13" s="36"/>
      <c r="D13" s="15">
        <v>1</v>
      </c>
      <c r="E13" s="53">
        <v>45896</v>
      </c>
      <c r="F13" s="53">
        <f>E13+1</f>
        <v>45897</v>
      </c>
      <c r="G13" s="70"/>
      <c r="H13" s="14"/>
      <c r="I13" s="26"/>
      <c r="J13" s="26"/>
      <c r="K13" s="26"/>
      <c r="L13" s="26"/>
      <c r="M13" s="26"/>
      <c r="N13" s="26"/>
      <c r="O13" s="26"/>
      <c r="P13" s="26"/>
      <c r="Q13" s="26"/>
      <c r="R13" s="26"/>
      <c r="S13" s="26"/>
      <c r="T13" s="26"/>
      <c r="U13" s="26"/>
      <c r="V13" s="26"/>
      <c r="W13" s="26"/>
      <c r="X13" s="26"/>
      <c r="Y13" s="26"/>
      <c r="Z13" s="26"/>
      <c r="AA13" s="26"/>
      <c r="AB13" s="26"/>
      <c r="AC13" s="77"/>
      <c r="AD13" s="77"/>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56"/>
      <c r="BR13" s="56"/>
      <c r="BS13" s="56"/>
      <c r="BT13" s="56"/>
      <c r="BU13" s="56"/>
      <c r="BV13" s="56"/>
      <c r="BW13" s="56"/>
      <c r="BX13" s="56"/>
      <c r="BY13" s="56"/>
      <c r="BZ13" s="56"/>
      <c r="CA13" s="56"/>
      <c r="CB13" s="56"/>
      <c r="CC13" s="56"/>
      <c r="CD13" s="56"/>
      <c r="CE13" s="56"/>
      <c r="CF13" s="56"/>
      <c r="CG13" s="56"/>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row>
    <row r="14" spans="1:121" s="3" customFormat="1" ht="30" customHeight="1" thickBot="1" x14ac:dyDescent="0.3">
      <c r="A14" s="30"/>
      <c r="B14" s="108" t="s">
        <v>72</v>
      </c>
      <c r="C14" s="36"/>
      <c r="D14" s="15">
        <v>1</v>
      </c>
      <c r="E14" s="53">
        <v>45898</v>
      </c>
      <c r="F14" s="53">
        <v>45898</v>
      </c>
      <c r="G14" s="70"/>
      <c r="H14" s="14">
        <f t="shared" si="17"/>
        <v>1</v>
      </c>
      <c r="I14" s="26"/>
      <c r="J14" s="26"/>
      <c r="K14" s="26"/>
      <c r="L14" s="26"/>
      <c r="M14" s="26"/>
      <c r="N14" s="26"/>
      <c r="O14" s="26"/>
      <c r="P14" s="26"/>
      <c r="Q14" s="26"/>
      <c r="R14" s="26"/>
      <c r="S14" s="26"/>
      <c r="T14" s="26"/>
      <c r="U14" s="26"/>
      <c r="V14" s="26"/>
      <c r="W14" s="26"/>
      <c r="X14" s="26"/>
      <c r="Y14" s="27"/>
      <c r="Z14" s="26"/>
      <c r="AA14" s="26"/>
      <c r="AB14" s="26"/>
      <c r="AC14" s="77"/>
      <c r="AD14" s="77"/>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56"/>
      <c r="BR14" s="56"/>
      <c r="BS14" s="56"/>
      <c r="BT14" s="56"/>
      <c r="BU14" s="56"/>
      <c r="BV14" s="56"/>
      <c r="BW14" s="56"/>
      <c r="BX14" s="56"/>
      <c r="BY14" s="56"/>
      <c r="BZ14" s="56"/>
      <c r="CA14" s="56"/>
      <c r="CB14" s="56"/>
      <c r="CC14" s="57"/>
      <c r="CD14" s="56"/>
      <c r="CE14" s="56"/>
      <c r="CF14" s="56"/>
      <c r="CG14" s="56"/>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row>
    <row r="15" spans="1:121" s="3" customFormat="1" ht="30" customHeight="1" thickBot="1" x14ac:dyDescent="0.3">
      <c r="A15" s="30"/>
      <c r="B15" s="113" t="s">
        <v>73</v>
      </c>
      <c r="C15" s="36"/>
      <c r="D15" s="15">
        <v>1</v>
      </c>
      <c r="E15" s="53">
        <v>45898</v>
      </c>
      <c r="F15" s="53">
        <v>45903</v>
      </c>
      <c r="G15" s="70"/>
      <c r="H15" s="14"/>
      <c r="I15" s="26"/>
      <c r="J15" s="26"/>
      <c r="K15" s="26"/>
      <c r="L15" s="26"/>
      <c r="M15" s="26"/>
      <c r="N15" s="26"/>
      <c r="O15" s="26"/>
      <c r="P15" s="26"/>
      <c r="Q15" s="26"/>
      <c r="R15" s="26"/>
      <c r="S15" s="26"/>
      <c r="T15" s="26"/>
      <c r="U15" s="26"/>
      <c r="V15" s="26"/>
      <c r="W15" s="26"/>
      <c r="X15" s="26"/>
      <c r="Y15" s="27"/>
      <c r="Z15" s="26"/>
      <c r="AA15" s="26"/>
      <c r="AB15" s="26"/>
      <c r="AC15" s="77"/>
      <c r="AD15" s="77"/>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56"/>
      <c r="BR15" s="56"/>
      <c r="BS15" s="56"/>
      <c r="BT15" s="56"/>
      <c r="BU15" s="56"/>
      <c r="BV15" s="56"/>
      <c r="BW15" s="56"/>
      <c r="BX15" s="56"/>
      <c r="BY15" s="56"/>
      <c r="BZ15" s="56"/>
      <c r="CA15" s="56"/>
      <c r="CB15" s="56"/>
      <c r="CC15" s="57"/>
      <c r="CD15" s="56"/>
      <c r="CE15" s="56"/>
      <c r="CF15" s="56"/>
      <c r="CG15" s="56"/>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row>
    <row r="16" spans="1:121" s="3" customFormat="1" ht="30" customHeight="1" thickBot="1" x14ac:dyDescent="0.3">
      <c r="A16" s="30"/>
      <c r="B16" s="113" t="s">
        <v>74</v>
      </c>
      <c r="C16" s="36"/>
      <c r="D16" s="15">
        <v>1</v>
      </c>
      <c r="E16" s="53">
        <v>45898</v>
      </c>
      <c r="F16" s="53">
        <v>45911</v>
      </c>
      <c r="G16" s="70"/>
      <c r="H16" s="14"/>
      <c r="I16" s="26"/>
      <c r="J16" s="26"/>
      <c r="K16" s="26"/>
      <c r="L16" s="26"/>
      <c r="M16" s="26"/>
      <c r="N16" s="26"/>
      <c r="O16" s="26"/>
      <c r="P16" s="26"/>
      <c r="Q16" s="26"/>
      <c r="R16" s="26"/>
      <c r="S16" s="26"/>
      <c r="T16" s="26"/>
      <c r="U16" s="26"/>
      <c r="V16" s="26"/>
      <c r="W16" s="26"/>
      <c r="X16" s="26"/>
      <c r="Y16" s="27"/>
      <c r="Z16" s="26"/>
      <c r="AA16" s="26"/>
      <c r="AB16" s="26"/>
      <c r="AC16" s="77"/>
      <c r="AD16" s="77"/>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56"/>
      <c r="BR16" s="56"/>
      <c r="BS16" s="56"/>
      <c r="BT16" s="56"/>
      <c r="BU16" s="56"/>
      <c r="BV16" s="56"/>
      <c r="BW16" s="56"/>
      <c r="BX16" s="56"/>
      <c r="BY16" s="56"/>
      <c r="BZ16" s="56"/>
      <c r="CA16" s="56"/>
      <c r="CB16" s="56"/>
      <c r="CC16" s="57"/>
      <c r="CD16" s="56"/>
      <c r="CE16" s="56"/>
      <c r="CF16" s="56"/>
      <c r="CG16" s="5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row>
    <row r="17" spans="1:121" s="3" customFormat="1" ht="30" customHeight="1" thickBot="1" x14ac:dyDescent="0.3">
      <c r="A17" s="30"/>
      <c r="B17" s="109" t="s">
        <v>22</v>
      </c>
      <c r="C17" s="61"/>
      <c r="D17" s="15">
        <v>1</v>
      </c>
      <c r="E17" s="53">
        <v>45901</v>
      </c>
      <c r="F17" s="53">
        <v>45904</v>
      </c>
      <c r="G17" s="70"/>
      <c r="H17" s="14">
        <f t="shared" si="17"/>
        <v>4</v>
      </c>
      <c r="I17" s="26"/>
      <c r="J17" s="26"/>
      <c r="K17" s="26"/>
      <c r="L17" s="26"/>
      <c r="M17" s="26"/>
      <c r="N17" s="26"/>
      <c r="O17" s="26"/>
      <c r="P17" s="26"/>
      <c r="Q17" s="26"/>
      <c r="R17" s="26"/>
      <c r="S17" s="26"/>
      <c r="T17" s="26"/>
      <c r="U17" s="26"/>
      <c r="V17" s="26"/>
      <c r="W17" s="26"/>
      <c r="X17" s="26"/>
      <c r="Y17" s="26"/>
      <c r="Z17" s="26"/>
      <c r="AA17" s="26"/>
      <c r="AB17" s="26"/>
      <c r="AC17" s="77"/>
      <c r="AD17" s="77"/>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56"/>
      <c r="BR17" s="56"/>
      <c r="BS17" s="56"/>
      <c r="BT17" s="56"/>
      <c r="BU17" s="56"/>
      <c r="BV17" s="56"/>
      <c r="BW17" s="56"/>
      <c r="BX17" s="56"/>
      <c r="BY17" s="56"/>
      <c r="BZ17" s="56"/>
      <c r="CA17" s="56"/>
      <c r="CB17" s="56"/>
      <c r="CC17" s="56"/>
      <c r="CD17" s="56"/>
      <c r="CE17" s="56"/>
      <c r="CF17" s="56"/>
      <c r="CG17" s="56"/>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row>
    <row r="18" spans="1:121" s="3" customFormat="1" ht="30" customHeight="1" thickBot="1" x14ac:dyDescent="0.3">
      <c r="A18" s="30"/>
      <c r="B18" s="109" t="s">
        <v>23</v>
      </c>
      <c r="C18" s="61"/>
      <c r="D18" s="15">
        <v>1</v>
      </c>
      <c r="E18" s="53">
        <v>45901</v>
      </c>
      <c r="F18" s="53">
        <v>45904</v>
      </c>
      <c r="G18" s="70"/>
      <c r="H18" s="14"/>
      <c r="I18" s="26"/>
      <c r="J18" s="26"/>
      <c r="K18" s="26"/>
      <c r="L18" s="26"/>
      <c r="M18" s="26"/>
      <c r="N18" s="26"/>
      <c r="O18" s="26"/>
      <c r="P18" s="26"/>
      <c r="Q18" s="26"/>
      <c r="R18" s="26"/>
      <c r="S18" s="26"/>
      <c r="T18" s="26"/>
      <c r="U18" s="26"/>
      <c r="V18" s="26"/>
      <c r="W18" s="26"/>
      <c r="X18" s="26"/>
      <c r="Y18" s="26"/>
      <c r="Z18" s="26"/>
      <c r="AA18" s="26"/>
      <c r="AB18" s="26"/>
      <c r="AC18" s="77"/>
      <c r="AD18" s="77"/>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56"/>
      <c r="BR18" s="56"/>
      <c r="BS18" s="56"/>
      <c r="BT18" s="56"/>
      <c r="BU18" s="56"/>
      <c r="BV18" s="56"/>
      <c r="BW18" s="56"/>
      <c r="BX18" s="56"/>
      <c r="BY18" s="56"/>
      <c r="BZ18" s="56"/>
      <c r="CA18" s="56"/>
      <c r="CB18" s="56"/>
      <c r="CC18" s="56"/>
      <c r="CD18" s="56"/>
      <c r="CE18" s="56"/>
      <c r="CF18" s="56"/>
      <c r="CG18" s="56"/>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row>
    <row r="19" spans="1:121" s="3" customFormat="1" ht="30" customHeight="1" thickBot="1" x14ac:dyDescent="0.3">
      <c r="A19" s="30"/>
      <c r="B19" s="109" t="s">
        <v>24</v>
      </c>
      <c r="C19" s="61"/>
      <c r="D19" s="15">
        <v>1</v>
      </c>
      <c r="E19" s="53">
        <v>45905</v>
      </c>
      <c r="F19" s="53">
        <v>45909</v>
      </c>
      <c r="G19" s="70"/>
      <c r="H19" s="14"/>
      <c r="I19" s="26"/>
      <c r="J19" s="26"/>
      <c r="K19" s="26"/>
      <c r="L19" s="26"/>
      <c r="M19" s="26"/>
      <c r="N19" s="26"/>
      <c r="O19" s="26"/>
      <c r="P19" s="26"/>
      <c r="Q19" s="26"/>
      <c r="R19" s="26"/>
      <c r="S19" s="26"/>
      <c r="T19" s="26"/>
      <c r="U19" s="26"/>
      <c r="V19" s="26"/>
      <c r="W19" s="26"/>
      <c r="X19" s="26"/>
      <c r="Y19" s="26"/>
      <c r="Z19" s="26"/>
      <c r="AA19" s="26"/>
      <c r="AB19" s="26"/>
      <c r="AC19" s="77"/>
      <c r="AD19" s="77"/>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56"/>
      <c r="BR19" s="56"/>
      <c r="BS19" s="56"/>
      <c r="BT19" s="56"/>
      <c r="BU19" s="56"/>
      <c r="BV19" s="56"/>
      <c r="BW19" s="56"/>
      <c r="BX19" s="56"/>
      <c r="BY19" s="56"/>
      <c r="BZ19" s="56"/>
      <c r="CA19" s="56"/>
      <c r="CB19" s="56"/>
      <c r="CC19" s="56"/>
      <c r="CD19" s="56"/>
      <c r="CE19" s="56"/>
      <c r="CF19" s="56"/>
      <c r="CG19" s="56"/>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row>
    <row r="20" spans="1:121" s="3" customFormat="1" ht="30" customHeight="1" thickBot="1" x14ac:dyDescent="0.3">
      <c r="A20" s="30"/>
      <c r="B20" s="110" t="s">
        <v>25</v>
      </c>
      <c r="C20" s="61"/>
      <c r="D20" s="15">
        <v>0.9</v>
      </c>
      <c r="E20" s="53">
        <v>45908</v>
      </c>
      <c r="F20" s="53">
        <v>45911</v>
      </c>
      <c r="G20" s="70"/>
      <c r="H20" s="14"/>
      <c r="I20" s="26"/>
      <c r="J20" s="26"/>
      <c r="K20" s="26"/>
      <c r="L20" s="26"/>
      <c r="M20" s="26"/>
      <c r="N20" s="26"/>
      <c r="O20" s="26"/>
      <c r="P20" s="26"/>
      <c r="Q20" s="26"/>
      <c r="R20" s="26"/>
      <c r="S20" s="26"/>
      <c r="T20" s="26"/>
      <c r="U20" s="26"/>
      <c r="V20" s="26"/>
      <c r="W20" s="26"/>
      <c r="X20" s="26"/>
      <c r="Y20" s="26"/>
      <c r="Z20" s="26"/>
      <c r="AA20" s="26"/>
      <c r="AB20" s="26"/>
      <c r="AC20" s="77"/>
      <c r="AD20" s="77"/>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56"/>
      <c r="BR20" s="56"/>
      <c r="BS20" s="56"/>
      <c r="BT20" s="56"/>
      <c r="BU20" s="56"/>
      <c r="BV20" s="56"/>
      <c r="BW20" s="56"/>
      <c r="BX20" s="56"/>
      <c r="BY20" s="56"/>
      <c r="BZ20" s="56"/>
      <c r="CA20" s="56"/>
      <c r="CB20" s="56"/>
      <c r="CC20" s="56"/>
      <c r="CD20" s="56"/>
      <c r="CE20" s="56"/>
      <c r="CF20" s="56"/>
      <c r="CG20" s="56"/>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row>
    <row r="21" spans="1:121" s="3" customFormat="1" ht="30" customHeight="1" thickBot="1" x14ac:dyDescent="0.3">
      <c r="A21" s="30"/>
      <c r="B21" s="110" t="s">
        <v>26</v>
      </c>
      <c r="C21" s="61"/>
      <c r="D21" s="15">
        <v>0.9</v>
      </c>
      <c r="E21" s="53">
        <v>45910</v>
      </c>
      <c r="F21" s="53">
        <v>45911</v>
      </c>
      <c r="G21" s="70"/>
      <c r="H21" s="14"/>
      <c r="I21" s="26"/>
      <c r="J21" s="26"/>
      <c r="K21" s="26"/>
      <c r="L21" s="26"/>
      <c r="M21" s="26"/>
      <c r="N21" s="26"/>
      <c r="O21" s="26"/>
      <c r="P21" s="26"/>
      <c r="Q21" s="26"/>
      <c r="R21" s="26"/>
      <c r="S21" s="26"/>
      <c r="T21" s="26"/>
      <c r="U21" s="26"/>
      <c r="V21" s="26"/>
      <c r="W21" s="26"/>
      <c r="X21" s="26"/>
      <c r="Y21" s="26"/>
      <c r="Z21" s="26"/>
      <c r="AA21" s="26"/>
      <c r="AB21" s="26"/>
      <c r="AC21" s="77"/>
      <c r="AD21" s="77"/>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56"/>
      <c r="BR21" s="56"/>
      <c r="BS21" s="56"/>
      <c r="BT21" s="56"/>
      <c r="BU21" s="56"/>
      <c r="BV21" s="56"/>
      <c r="BW21" s="56"/>
      <c r="BX21" s="56"/>
      <c r="BY21" s="56"/>
      <c r="BZ21" s="56"/>
      <c r="CA21" s="56"/>
      <c r="CB21" s="56"/>
      <c r="CC21" s="56"/>
      <c r="CD21" s="56"/>
      <c r="CE21" s="56"/>
      <c r="CF21" s="56"/>
      <c r="CG21" s="56"/>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row>
    <row r="22" spans="1:121" s="3" customFormat="1" ht="30" customHeight="1" thickBot="1" x14ac:dyDescent="0.3">
      <c r="A22" s="30"/>
      <c r="B22" s="110" t="s">
        <v>75</v>
      </c>
      <c r="C22" s="61"/>
      <c r="D22" s="15">
        <v>0</v>
      </c>
      <c r="E22" s="53">
        <v>45911</v>
      </c>
      <c r="F22" s="53">
        <v>45911</v>
      </c>
      <c r="G22" s="70"/>
      <c r="H22" s="14"/>
      <c r="I22" s="26"/>
      <c r="J22" s="26"/>
      <c r="K22" s="26"/>
      <c r="L22" s="26"/>
      <c r="M22" s="26"/>
      <c r="N22" s="26"/>
      <c r="O22" s="26"/>
      <c r="P22" s="26"/>
      <c r="Q22" s="26"/>
      <c r="R22" s="26"/>
      <c r="S22" s="26"/>
      <c r="T22" s="26"/>
      <c r="U22" s="26"/>
      <c r="V22" s="26"/>
      <c r="W22" s="26"/>
      <c r="X22" s="115"/>
      <c r="Y22" s="26"/>
      <c r="Z22" s="26"/>
      <c r="AA22" s="26"/>
      <c r="AB22" s="26"/>
      <c r="AC22" s="77"/>
      <c r="AD22" s="77"/>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56"/>
      <c r="BR22" s="56"/>
      <c r="BS22" s="56"/>
      <c r="BT22" s="56"/>
      <c r="BU22" s="56"/>
      <c r="BV22" s="56"/>
      <c r="BW22" s="56"/>
      <c r="BX22" s="56"/>
      <c r="BY22" s="56"/>
      <c r="BZ22" s="56"/>
      <c r="CA22" s="56"/>
      <c r="CB22" s="56"/>
      <c r="CC22" s="56"/>
      <c r="CD22" s="56"/>
      <c r="CE22" s="56"/>
      <c r="CF22" s="56"/>
      <c r="CG22" s="56"/>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row>
    <row r="23" spans="1:121" s="3" customFormat="1" ht="30" customHeight="1" thickBot="1" x14ac:dyDescent="0.3">
      <c r="A23" s="30"/>
      <c r="B23" s="109" t="s">
        <v>27</v>
      </c>
      <c r="C23" s="61"/>
      <c r="D23" s="15">
        <v>0</v>
      </c>
      <c r="E23" s="53">
        <v>45912</v>
      </c>
      <c r="F23" s="53">
        <v>45917</v>
      </c>
      <c r="G23" s="70"/>
      <c r="H23" s="14"/>
      <c r="I23" s="26"/>
      <c r="J23" s="26"/>
      <c r="K23" s="26"/>
      <c r="L23" s="26"/>
      <c r="M23" s="26"/>
      <c r="N23" s="26"/>
      <c r="O23" s="26"/>
      <c r="P23" s="26"/>
      <c r="Q23" s="26"/>
      <c r="R23" s="26"/>
      <c r="S23" s="26"/>
      <c r="T23" s="26"/>
      <c r="U23" s="26"/>
      <c r="V23" s="26"/>
      <c r="W23" s="26"/>
      <c r="X23" s="26"/>
      <c r="Y23" s="26"/>
      <c r="Z23" s="26"/>
      <c r="AA23" s="26"/>
      <c r="AB23" s="26"/>
      <c r="AC23" s="77"/>
      <c r="AD23" s="77"/>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56"/>
      <c r="BR23" s="56"/>
      <c r="BS23" s="56"/>
      <c r="BT23" s="56"/>
      <c r="BU23" s="56"/>
      <c r="BV23" s="56"/>
      <c r="BW23" s="56"/>
      <c r="BX23" s="56"/>
      <c r="BY23" s="56"/>
      <c r="BZ23" s="56"/>
      <c r="CA23" s="56"/>
      <c r="CB23" s="56"/>
      <c r="CC23" s="56"/>
      <c r="CD23" s="56"/>
      <c r="CE23" s="56"/>
      <c r="CF23" s="56"/>
      <c r="CG23" s="56"/>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row>
    <row r="24" spans="1:121" s="3" customFormat="1" ht="30" customHeight="1" thickBot="1" x14ac:dyDescent="0.3">
      <c r="A24" s="30"/>
      <c r="B24" s="110" t="s">
        <v>28</v>
      </c>
      <c r="C24" s="61"/>
      <c r="D24" s="15">
        <v>0</v>
      </c>
      <c r="E24" s="53">
        <v>45916</v>
      </c>
      <c r="F24" s="53">
        <v>45917</v>
      </c>
      <c r="G24" s="70"/>
      <c r="H24" s="14"/>
      <c r="I24" s="26"/>
      <c r="J24" s="26"/>
      <c r="K24" s="26"/>
      <c r="L24" s="26"/>
      <c r="M24" s="26"/>
      <c r="N24" s="26"/>
      <c r="O24" s="26"/>
      <c r="P24" s="26"/>
      <c r="Q24" s="26"/>
      <c r="R24" s="26"/>
      <c r="S24" s="26"/>
      <c r="T24" s="26"/>
      <c r="U24" s="26"/>
      <c r="V24" s="26"/>
      <c r="W24" s="26"/>
      <c r="X24" s="26"/>
      <c r="Y24" s="26"/>
      <c r="Z24" s="26"/>
      <c r="AA24" s="26"/>
      <c r="AB24" s="26"/>
      <c r="AC24" s="77"/>
      <c r="AD24" s="77"/>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56"/>
      <c r="BR24" s="56"/>
      <c r="BS24" s="56"/>
      <c r="BT24" s="56"/>
      <c r="BU24" s="56"/>
      <c r="BV24" s="56"/>
      <c r="BW24" s="56"/>
      <c r="BX24" s="56"/>
      <c r="BY24" s="56"/>
      <c r="BZ24" s="56"/>
      <c r="CA24" s="56"/>
      <c r="CB24" s="56"/>
      <c r="CC24" s="56"/>
      <c r="CD24" s="56"/>
      <c r="CE24" s="56"/>
      <c r="CF24" s="56"/>
      <c r="CG24" s="56"/>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row>
    <row r="25" spans="1:121" s="3" customFormat="1" ht="30" customHeight="1" thickBot="1" x14ac:dyDescent="0.3">
      <c r="A25" s="30"/>
      <c r="B25" s="109" t="s">
        <v>29</v>
      </c>
      <c r="C25" s="61"/>
      <c r="D25" s="15">
        <v>0</v>
      </c>
      <c r="E25" s="53">
        <v>45922</v>
      </c>
      <c r="F25" s="53">
        <v>45923</v>
      </c>
      <c r="G25" s="70"/>
      <c r="H25" s="14"/>
      <c r="I25" s="26"/>
      <c r="J25" s="26"/>
      <c r="K25" s="26"/>
      <c r="L25" s="26"/>
      <c r="M25" s="26"/>
      <c r="N25" s="26"/>
      <c r="O25" s="26"/>
      <c r="P25" s="26"/>
      <c r="Q25" s="26"/>
      <c r="R25" s="26"/>
      <c r="S25" s="26"/>
      <c r="T25" s="26"/>
      <c r="U25" s="26"/>
      <c r="V25" s="26"/>
      <c r="W25" s="26"/>
      <c r="X25" s="26"/>
      <c r="Y25" s="26"/>
      <c r="Z25" s="26"/>
      <c r="AA25" s="26"/>
      <c r="AB25" s="26"/>
      <c r="AC25" s="77"/>
      <c r="AD25" s="77"/>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56"/>
      <c r="BR25" s="56"/>
      <c r="BS25" s="56"/>
      <c r="BT25" s="56"/>
      <c r="BU25" s="56"/>
      <c r="BV25" s="56"/>
      <c r="BW25" s="56"/>
      <c r="BX25" s="56"/>
      <c r="BY25" s="56"/>
      <c r="BZ25" s="56"/>
      <c r="CA25" s="56"/>
      <c r="CB25" s="56"/>
      <c r="CC25" s="56"/>
      <c r="CD25" s="56"/>
      <c r="CE25" s="56"/>
      <c r="CF25" s="56"/>
      <c r="CG25" s="56"/>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row>
    <row r="26" spans="1:121" s="91" customFormat="1" ht="30" customHeight="1" thickBot="1" x14ac:dyDescent="0.3">
      <c r="A26" s="100"/>
      <c r="B26" s="111" t="s">
        <v>30</v>
      </c>
      <c r="C26" s="101"/>
      <c r="D26" s="86"/>
      <c r="E26" s="87"/>
      <c r="F26" s="87"/>
      <c r="G26" s="88"/>
      <c r="H26" s="88"/>
      <c r="I26" s="89"/>
      <c r="J26" s="89"/>
      <c r="K26" s="89"/>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89"/>
      <c r="AT26" s="89"/>
      <c r="AU26" s="89"/>
      <c r="AV26" s="89"/>
      <c r="AW26" s="89"/>
      <c r="AX26" s="89"/>
      <c r="AY26" s="89"/>
      <c r="AZ26" s="89"/>
      <c r="BA26" s="89"/>
      <c r="BB26" s="89"/>
      <c r="BC26" s="89"/>
      <c r="BD26" s="89"/>
      <c r="BE26" s="89"/>
      <c r="BF26" s="89"/>
      <c r="BG26" s="89"/>
      <c r="BH26" s="89"/>
      <c r="BI26" s="89"/>
      <c r="BJ26" s="89"/>
      <c r="BK26" s="89"/>
      <c r="BL26" s="89"/>
      <c r="BM26" s="89"/>
      <c r="BN26" s="89"/>
      <c r="BO26" s="89"/>
      <c r="BP26" s="89"/>
      <c r="BQ26" s="89"/>
      <c r="BR26" s="89"/>
      <c r="BS26" s="89"/>
      <c r="BT26" s="89"/>
      <c r="BU26" s="89"/>
      <c r="BV26" s="89"/>
      <c r="BW26" s="89"/>
      <c r="BX26" s="89"/>
      <c r="BY26" s="89"/>
      <c r="BZ26" s="89"/>
      <c r="CA26" s="89"/>
      <c r="CB26" s="89"/>
      <c r="CC26" s="89"/>
      <c r="CD26" s="89"/>
      <c r="CE26" s="89"/>
      <c r="CF26" s="89"/>
      <c r="CG26" s="89"/>
      <c r="CH26" s="90"/>
      <c r="CI26" s="90"/>
      <c r="CJ26" s="90"/>
      <c r="CK26" s="90"/>
      <c r="CL26" s="90"/>
      <c r="CM26" s="90"/>
      <c r="CN26" s="90"/>
      <c r="CO26" s="90"/>
      <c r="CP26" s="90"/>
      <c r="CQ26" s="90"/>
      <c r="CR26" s="90"/>
      <c r="CS26" s="90"/>
      <c r="CT26" s="90"/>
      <c r="CU26" s="90"/>
      <c r="CV26" s="90"/>
      <c r="CW26" s="90"/>
      <c r="CX26" s="90"/>
      <c r="CY26" s="90"/>
      <c r="CZ26" s="90"/>
      <c r="DA26" s="90"/>
      <c r="DB26" s="90"/>
      <c r="DC26" s="90"/>
      <c r="DD26" s="90"/>
      <c r="DE26" s="90"/>
      <c r="DF26" s="90"/>
      <c r="DG26" s="90"/>
      <c r="DH26" s="90"/>
      <c r="DI26" s="90"/>
      <c r="DJ26" s="90"/>
      <c r="DK26" s="90"/>
      <c r="DL26" s="90"/>
      <c r="DM26" s="90"/>
      <c r="DN26" s="90"/>
      <c r="DO26" s="90"/>
      <c r="DP26" s="90"/>
      <c r="DQ26" s="90"/>
    </row>
    <row r="27" spans="1:121" s="3" customFormat="1" ht="30" customHeight="1" thickBot="1" x14ac:dyDescent="0.3">
      <c r="A27" s="30"/>
      <c r="B27" s="110" t="s">
        <v>47</v>
      </c>
      <c r="C27" s="61"/>
      <c r="D27" s="15">
        <v>0</v>
      </c>
      <c r="E27" s="53">
        <v>45923</v>
      </c>
      <c r="F27" s="53">
        <v>45925</v>
      </c>
      <c r="G27" s="70"/>
      <c r="H27" s="14"/>
      <c r="I27" s="26"/>
      <c r="J27" s="26"/>
      <c r="K27" s="26"/>
      <c r="L27" s="26"/>
      <c r="M27" s="26"/>
      <c r="N27" s="26"/>
      <c r="O27" s="26"/>
      <c r="P27" s="26"/>
      <c r="Q27" s="26"/>
      <c r="R27" s="26"/>
      <c r="S27" s="26"/>
      <c r="T27" s="26"/>
      <c r="U27" s="26"/>
      <c r="V27" s="26"/>
      <c r="W27" s="26"/>
      <c r="X27" s="26"/>
      <c r="Y27" s="26"/>
      <c r="Z27" s="26"/>
      <c r="AA27" s="26"/>
      <c r="AB27" s="26"/>
      <c r="AC27" s="77"/>
      <c r="AD27" s="77"/>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56"/>
      <c r="BR27" s="56"/>
      <c r="BS27" s="56"/>
      <c r="BT27" s="56"/>
      <c r="BU27" s="56"/>
      <c r="BV27" s="56"/>
      <c r="BW27" s="56"/>
      <c r="BX27" s="56"/>
      <c r="BY27" s="56"/>
      <c r="BZ27" s="56"/>
      <c r="CA27" s="56"/>
      <c r="CB27" s="56"/>
      <c r="CC27" s="56"/>
      <c r="CD27" s="56"/>
      <c r="CE27" s="56"/>
      <c r="CF27" s="56"/>
      <c r="CG27" s="56"/>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row>
    <row r="28" spans="1:121" s="3" customFormat="1" ht="30" customHeight="1" thickBot="1" x14ac:dyDescent="0.3">
      <c r="A28" s="30"/>
      <c r="B28" s="110" t="s">
        <v>42</v>
      </c>
      <c r="C28" s="61"/>
      <c r="D28" s="15">
        <v>0</v>
      </c>
      <c r="E28" s="53">
        <v>45924</v>
      </c>
      <c r="F28" s="53">
        <v>45924</v>
      </c>
      <c r="G28" s="70"/>
      <c r="H28" s="14"/>
      <c r="I28" s="26"/>
      <c r="J28" s="26"/>
      <c r="K28" s="26"/>
      <c r="L28" s="26"/>
      <c r="M28" s="26"/>
      <c r="N28" s="26"/>
      <c r="O28" s="26"/>
      <c r="P28" s="26"/>
      <c r="Q28" s="26"/>
      <c r="R28" s="26"/>
      <c r="S28" s="26"/>
      <c r="T28" s="26"/>
      <c r="U28" s="26"/>
      <c r="V28" s="26"/>
      <c r="W28" s="26"/>
      <c r="X28" s="26"/>
      <c r="Y28" s="26"/>
      <c r="Z28" s="26"/>
      <c r="AA28" s="26"/>
      <c r="AB28" s="26"/>
      <c r="AC28" s="77"/>
      <c r="AD28" s="77"/>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56"/>
      <c r="BR28" s="56"/>
      <c r="BS28" s="56"/>
      <c r="BT28" s="56"/>
      <c r="BU28" s="56"/>
      <c r="BV28" s="56"/>
      <c r="BW28" s="56"/>
      <c r="BX28" s="56"/>
      <c r="BY28" s="56"/>
      <c r="BZ28" s="56"/>
      <c r="CA28" s="56"/>
      <c r="CB28" s="56"/>
      <c r="CC28" s="56"/>
      <c r="CD28" s="56"/>
      <c r="CE28" s="56"/>
      <c r="CF28" s="56"/>
      <c r="CG28" s="56"/>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row>
    <row r="29" spans="1:121" s="3" customFormat="1" ht="30" customHeight="1" thickBot="1" x14ac:dyDescent="0.3">
      <c r="A29" s="30"/>
      <c r="B29" s="110" t="s">
        <v>43</v>
      </c>
      <c r="C29" s="61"/>
      <c r="D29" s="15">
        <v>0</v>
      </c>
      <c r="E29" s="53">
        <v>45925</v>
      </c>
      <c r="F29" s="53">
        <v>45926</v>
      </c>
      <c r="G29" s="70"/>
      <c r="H29" s="14"/>
      <c r="I29" s="26"/>
      <c r="J29" s="26"/>
      <c r="K29" s="26"/>
      <c r="L29" s="26"/>
      <c r="M29" s="26"/>
      <c r="N29" s="26"/>
      <c r="O29" s="26"/>
      <c r="P29" s="26"/>
      <c r="Q29" s="26"/>
      <c r="R29" s="26"/>
      <c r="S29" s="26"/>
      <c r="T29" s="26"/>
      <c r="U29" s="26"/>
      <c r="V29" s="26"/>
      <c r="W29" s="26"/>
      <c r="X29" s="26"/>
      <c r="Y29" s="26"/>
      <c r="Z29" s="26"/>
      <c r="AA29" s="26"/>
      <c r="AB29" s="26"/>
      <c r="AC29" s="77"/>
      <c r="AD29" s="77"/>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56"/>
      <c r="BR29" s="56"/>
      <c r="BS29" s="56"/>
      <c r="BT29" s="56"/>
      <c r="BU29" s="56"/>
      <c r="BV29" s="56"/>
      <c r="BW29" s="56"/>
      <c r="BX29" s="56"/>
      <c r="BY29" s="56"/>
      <c r="BZ29" s="56"/>
      <c r="CA29" s="56"/>
      <c r="CB29" s="56"/>
      <c r="CC29" s="56"/>
      <c r="CD29" s="56"/>
      <c r="CE29" s="56"/>
      <c r="CF29" s="56"/>
      <c r="CG29" s="56"/>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row>
    <row r="30" spans="1:121" s="3" customFormat="1" ht="30" customHeight="1" thickBot="1" x14ac:dyDescent="0.3">
      <c r="A30" s="30"/>
      <c r="B30" s="114" t="s">
        <v>61</v>
      </c>
      <c r="C30" s="61"/>
      <c r="D30" s="15">
        <v>0</v>
      </c>
      <c r="E30" s="53">
        <v>45926</v>
      </c>
      <c r="F30" s="53">
        <v>45929</v>
      </c>
      <c r="G30" s="70"/>
      <c r="H30" s="14"/>
      <c r="I30" s="26"/>
      <c r="J30" s="26"/>
      <c r="K30" s="26"/>
      <c r="L30" s="26"/>
      <c r="M30" s="26"/>
      <c r="N30" s="26"/>
      <c r="O30" s="26"/>
      <c r="P30" s="26"/>
      <c r="Q30" s="26"/>
      <c r="R30" s="26"/>
      <c r="S30" s="26"/>
      <c r="T30" s="26"/>
      <c r="U30" s="26"/>
      <c r="V30" s="26"/>
      <c r="W30" s="26"/>
      <c r="X30" s="26"/>
      <c r="Y30" s="26"/>
      <c r="Z30" s="26"/>
      <c r="AA30" s="26"/>
      <c r="AB30" s="26"/>
      <c r="AC30" s="77"/>
      <c r="AD30" s="77"/>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56"/>
      <c r="BR30" s="56"/>
      <c r="BS30" s="56"/>
      <c r="BT30" s="56"/>
      <c r="BU30" s="56"/>
      <c r="BV30" s="56"/>
      <c r="BW30" s="56"/>
      <c r="BX30" s="56"/>
      <c r="BY30" s="56"/>
      <c r="BZ30" s="56"/>
      <c r="CA30" s="56"/>
      <c r="CB30" s="56"/>
      <c r="CC30" s="56"/>
      <c r="CD30" s="56"/>
      <c r="CE30" s="56"/>
      <c r="CF30" s="56"/>
      <c r="CG30" s="56"/>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row>
    <row r="31" spans="1:121" s="3" customFormat="1" ht="30" customHeight="1" thickBot="1" x14ac:dyDescent="0.3">
      <c r="A31" s="30"/>
      <c r="B31" s="112" t="s">
        <v>62</v>
      </c>
      <c r="C31" s="61"/>
      <c r="D31" s="15">
        <v>0</v>
      </c>
      <c r="E31" s="53">
        <v>45929</v>
      </c>
      <c r="F31" s="53">
        <v>45930</v>
      </c>
      <c r="G31" s="70"/>
      <c r="H31" s="14"/>
      <c r="I31" s="26"/>
      <c r="J31" s="26"/>
      <c r="K31" s="26"/>
      <c r="L31" s="26"/>
      <c r="M31" s="26"/>
      <c r="N31" s="26"/>
      <c r="O31" s="26"/>
      <c r="P31" s="26"/>
      <c r="Q31" s="26"/>
      <c r="R31" s="26"/>
      <c r="S31" s="26"/>
      <c r="T31" s="26"/>
      <c r="U31" s="26"/>
      <c r="V31" s="26"/>
      <c r="W31" s="26"/>
      <c r="X31" s="26"/>
      <c r="Y31" s="26"/>
      <c r="Z31" s="26"/>
      <c r="AA31" s="26"/>
      <c r="AB31" s="26"/>
      <c r="AC31" s="77"/>
      <c r="AD31" s="77"/>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56"/>
      <c r="BR31" s="56"/>
      <c r="BS31" s="56"/>
      <c r="BT31" s="56"/>
      <c r="BU31" s="56"/>
      <c r="BV31" s="56"/>
      <c r="BW31" s="56"/>
      <c r="BX31" s="56"/>
      <c r="BY31" s="56"/>
      <c r="BZ31" s="56"/>
      <c r="CA31" s="56"/>
      <c r="CB31" s="56"/>
      <c r="CC31" s="56"/>
      <c r="CD31" s="56"/>
      <c r="CE31" s="56"/>
      <c r="CF31" s="56"/>
      <c r="CG31" s="56"/>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row>
    <row r="32" spans="1:121" s="3" customFormat="1" ht="30" customHeight="1" thickBot="1" x14ac:dyDescent="0.3">
      <c r="A32" s="31" t="s">
        <v>7</v>
      </c>
      <c r="B32" s="16" t="s">
        <v>31</v>
      </c>
      <c r="C32" s="37"/>
      <c r="D32" s="17"/>
      <c r="E32" s="45"/>
      <c r="F32" s="46"/>
      <c r="G32" s="71"/>
      <c r="H32" s="14" t="str">
        <f t="shared" si="17"/>
        <v/>
      </c>
      <c r="I32" s="119"/>
      <c r="J32" s="120"/>
      <c r="K32" s="120"/>
      <c r="L32" s="120"/>
      <c r="M32" s="120"/>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20"/>
      <c r="BT32" s="120"/>
      <c r="BU32" s="120"/>
      <c r="BV32" s="120"/>
      <c r="BW32" s="120"/>
      <c r="BX32" s="120"/>
      <c r="BY32" s="120"/>
      <c r="BZ32" s="120"/>
      <c r="CA32" s="120"/>
      <c r="CB32" s="120"/>
      <c r="CC32" s="120"/>
      <c r="CD32" s="120"/>
      <c r="CE32" s="120"/>
      <c r="CF32" s="120"/>
      <c r="CG32" s="121"/>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row>
    <row r="33" spans="1:121" s="79" customFormat="1" ht="30" customHeight="1" thickBot="1" x14ac:dyDescent="0.3">
      <c r="A33" s="80"/>
      <c r="B33" s="102" t="s">
        <v>48</v>
      </c>
      <c r="C33" s="38"/>
      <c r="D33" s="18"/>
      <c r="E33" s="103"/>
      <c r="F33" s="104"/>
      <c r="G33" s="72"/>
      <c r="H33" s="105"/>
      <c r="I33" s="81"/>
      <c r="J33" s="81"/>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1"/>
      <c r="BM33" s="81"/>
      <c r="BN33" s="81"/>
      <c r="BO33" s="81"/>
      <c r="BP33" s="81"/>
      <c r="BQ33" s="81"/>
      <c r="BR33" s="81"/>
      <c r="BS33" s="81"/>
      <c r="BT33" s="81"/>
      <c r="BU33" s="81"/>
      <c r="BV33" s="81"/>
      <c r="BW33" s="81"/>
      <c r="BX33" s="81"/>
      <c r="BY33" s="81"/>
      <c r="BZ33" s="81"/>
      <c r="CA33" s="81"/>
      <c r="CB33" s="81"/>
      <c r="CC33" s="81"/>
      <c r="CD33" s="81"/>
      <c r="CE33" s="81"/>
      <c r="CF33" s="81"/>
      <c r="CG33" s="81"/>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row>
    <row r="34" spans="1:121" s="83" customFormat="1" ht="30" customHeight="1" thickBot="1" x14ac:dyDescent="0.3">
      <c r="A34" s="80"/>
      <c r="B34" s="62" t="s">
        <v>35</v>
      </c>
      <c r="C34" s="38"/>
      <c r="D34" s="18">
        <v>0</v>
      </c>
      <c r="E34" s="54"/>
      <c r="F34" s="54"/>
      <c r="G34" s="72"/>
      <c r="H34" s="72" t="str">
        <f t="shared" si="17"/>
        <v/>
      </c>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1"/>
      <c r="BJ34" s="81"/>
      <c r="BK34" s="81"/>
      <c r="BL34" s="81"/>
      <c r="BM34" s="81"/>
      <c r="BN34" s="81"/>
      <c r="BO34" s="81"/>
      <c r="BP34" s="81"/>
      <c r="BQ34" s="81"/>
      <c r="BR34" s="81"/>
      <c r="BS34" s="81"/>
      <c r="BT34" s="81"/>
      <c r="BU34" s="81"/>
      <c r="BV34" s="81"/>
      <c r="BW34" s="81"/>
      <c r="BX34" s="81"/>
      <c r="BY34" s="81"/>
      <c r="BZ34" s="81"/>
      <c r="CA34" s="81"/>
      <c r="CB34" s="81"/>
      <c r="CC34" s="81"/>
      <c r="CD34" s="81"/>
      <c r="CE34" s="81"/>
      <c r="CF34" s="81"/>
      <c r="CG34" s="81"/>
      <c r="CH34" s="82"/>
      <c r="CI34" s="82"/>
      <c r="CJ34" s="82"/>
      <c r="CK34" s="82"/>
      <c r="CL34" s="82"/>
      <c r="CM34" s="82"/>
      <c r="CN34" s="82"/>
      <c r="CO34" s="82"/>
      <c r="CP34" s="82"/>
      <c r="CQ34" s="82"/>
      <c r="CR34" s="82"/>
      <c r="CS34" s="82"/>
      <c r="CT34" s="82"/>
      <c r="CU34" s="82"/>
      <c r="CV34" s="82"/>
      <c r="CW34" s="82"/>
      <c r="CX34" s="82"/>
      <c r="CY34" s="82"/>
      <c r="CZ34" s="82"/>
      <c r="DA34" s="82"/>
      <c r="DB34" s="82"/>
      <c r="DC34" s="82"/>
      <c r="DD34" s="82"/>
      <c r="DE34" s="82"/>
      <c r="DF34" s="82"/>
      <c r="DG34" s="82"/>
      <c r="DH34" s="82"/>
      <c r="DI34" s="82"/>
      <c r="DJ34" s="82"/>
      <c r="DK34" s="82"/>
      <c r="DL34" s="82"/>
      <c r="DM34" s="82"/>
      <c r="DN34" s="82"/>
      <c r="DO34" s="82"/>
      <c r="DP34" s="82"/>
      <c r="DQ34" s="82"/>
    </row>
    <row r="35" spans="1:121" s="3" customFormat="1" ht="30" customHeight="1" thickBot="1" x14ac:dyDescent="0.3">
      <c r="A35" s="31"/>
      <c r="B35" s="42" t="s">
        <v>37</v>
      </c>
      <c r="C35" s="38"/>
      <c r="D35" s="18">
        <v>0</v>
      </c>
      <c r="E35" s="54">
        <v>45931</v>
      </c>
      <c r="F35" s="54">
        <v>45937</v>
      </c>
      <c r="G35" s="72"/>
      <c r="H35" s="14"/>
      <c r="I35" s="26"/>
      <c r="J35" s="26"/>
      <c r="K35" s="26"/>
      <c r="L35" s="26"/>
      <c r="M35" s="26"/>
      <c r="N35" s="26"/>
      <c r="O35" s="26"/>
      <c r="P35" s="26"/>
      <c r="Q35" s="26"/>
      <c r="R35" s="26"/>
      <c r="S35" s="26"/>
      <c r="T35" s="26"/>
      <c r="U35" s="26"/>
      <c r="V35" s="26"/>
      <c r="W35" s="26"/>
      <c r="X35" s="26"/>
      <c r="Y35" s="26"/>
      <c r="Z35" s="26"/>
      <c r="AA35" s="26"/>
      <c r="AB35" s="26"/>
      <c r="AC35" s="77"/>
      <c r="AD35" s="77"/>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56"/>
      <c r="BR35" s="56"/>
      <c r="BS35" s="56"/>
      <c r="BT35" s="56"/>
      <c r="BU35" s="56"/>
      <c r="BV35" s="56"/>
      <c r="BW35" s="56"/>
      <c r="BX35" s="56"/>
      <c r="BY35" s="56"/>
      <c r="BZ35" s="56"/>
      <c r="CA35" s="56"/>
      <c r="CB35" s="56"/>
      <c r="CC35" s="56"/>
      <c r="CD35" s="56"/>
      <c r="CE35" s="56"/>
      <c r="CF35" s="56"/>
      <c r="CG35" s="56"/>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row>
    <row r="36" spans="1:121" s="3" customFormat="1" ht="30" customHeight="1" thickBot="1" x14ac:dyDescent="0.3">
      <c r="A36" s="31"/>
      <c r="B36" s="42" t="s">
        <v>39</v>
      </c>
      <c r="C36" s="38"/>
      <c r="D36" s="18">
        <v>0</v>
      </c>
      <c r="E36" s="54">
        <v>45933</v>
      </c>
      <c r="F36" s="54">
        <v>45937</v>
      </c>
      <c r="G36" s="72"/>
      <c r="H36" s="14"/>
      <c r="I36" s="26"/>
      <c r="J36" s="26"/>
      <c r="K36" s="26"/>
      <c r="L36" s="26"/>
      <c r="M36" s="26"/>
      <c r="N36" s="26"/>
      <c r="O36" s="26"/>
      <c r="P36" s="26"/>
      <c r="Q36" s="26"/>
      <c r="R36" s="26"/>
      <c r="S36" s="26"/>
      <c r="T36" s="26"/>
      <c r="U36" s="26"/>
      <c r="V36" s="26"/>
      <c r="W36" s="26"/>
      <c r="X36" s="26"/>
      <c r="Y36" s="26"/>
      <c r="Z36" s="26"/>
      <c r="AA36" s="26"/>
      <c r="AB36" s="26"/>
      <c r="AC36" s="77"/>
      <c r="AD36" s="77"/>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56"/>
      <c r="BR36" s="56"/>
      <c r="BS36" s="56"/>
      <c r="BT36" s="56"/>
      <c r="BU36" s="56"/>
      <c r="BV36" s="56"/>
      <c r="BW36" s="56"/>
      <c r="BX36" s="56"/>
      <c r="BY36" s="56"/>
      <c r="BZ36" s="56"/>
      <c r="CA36" s="56"/>
      <c r="CB36" s="56"/>
      <c r="CC36" s="56"/>
      <c r="CD36" s="56"/>
      <c r="CE36" s="56"/>
      <c r="CF36" s="56"/>
      <c r="CG36" s="5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row>
    <row r="37" spans="1:121" s="3" customFormat="1" ht="30" customHeight="1" thickBot="1" x14ac:dyDescent="0.3">
      <c r="A37" s="31"/>
      <c r="B37" s="42" t="s">
        <v>38</v>
      </c>
      <c r="C37" s="38"/>
      <c r="D37" s="18">
        <v>0</v>
      </c>
      <c r="E37" s="54">
        <v>45937</v>
      </c>
      <c r="F37" s="54">
        <v>45937</v>
      </c>
      <c r="G37" s="72"/>
      <c r="H37" s="14"/>
      <c r="I37" s="26"/>
      <c r="J37" s="26"/>
      <c r="K37" s="26"/>
      <c r="L37" s="26"/>
      <c r="M37" s="26"/>
      <c r="N37" s="26"/>
      <c r="O37" s="26"/>
      <c r="P37" s="26"/>
      <c r="Q37" s="26"/>
      <c r="R37" s="26"/>
      <c r="S37" s="26"/>
      <c r="T37" s="26"/>
      <c r="U37" s="26"/>
      <c r="V37" s="26"/>
      <c r="W37" s="26"/>
      <c r="X37" s="26"/>
      <c r="Y37" s="26"/>
      <c r="Z37" s="26"/>
      <c r="AA37" s="26"/>
      <c r="AB37" s="26"/>
      <c r="AC37" s="77"/>
      <c r="AD37" s="77"/>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56"/>
      <c r="BR37" s="56"/>
      <c r="BS37" s="56"/>
      <c r="BT37" s="56"/>
      <c r="BU37" s="56"/>
      <c r="BV37" s="56"/>
      <c r="BW37" s="56"/>
      <c r="BX37" s="56"/>
      <c r="BY37" s="56"/>
      <c r="BZ37" s="56"/>
      <c r="CA37" s="56"/>
      <c r="CB37" s="56"/>
      <c r="CC37" s="56"/>
      <c r="CD37" s="56"/>
      <c r="CE37" s="56"/>
      <c r="CF37" s="56"/>
      <c r="CG37" s="56"/>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row>
    <row r="38" spans="1:121" s="3" customFormat="1" ht="30" customHeight="1" thickBot="1" x14ac:dyDescent="0.3">
      <c r="A38" s="31"/>
      <c r="B38" s="42" t="s">
        <v>56</v>
      </c>
      <c r="C38" s="38"/>
      <c r="D38" s="18">
        <v>0</v>
      </c>
      <c r="E38" s="54">
        <v>45937</v>
      </c>
      <c r="F38" s="54">
        <v>45937</v>
      </c>
      <c r="G38" s="72"/>
      <c r="H38" s="14"/>
      <c r="I38" s="26"/>
      <c r="J38" s="26"/>
      <c r="K38" s="26"/>
      <c r="L38" s="26"/>
      <c r="M38" s="26"/>
      <c r="N38" s="26"/>
      <c r="O38" s="26"/>
      <c r="P38" s="26"/>
      <c r="Q38" s="26"/>
      <c r="R38" s="26"/>
      <c r="S38" s="26"/>
      <c r="T38" s="26"/>
      <c r="U38" s="26"/>
      <c r="V38" s="26"/>
      <c r="W38" s="26"/>
      <c r="X38" s="26"/>
      <c r="Y38" s="26"/>
      <c r="Z38" s="26"/>
      <c r="AA38" s="26"/>
      <c r="AB38" s="26"/>
      <c r="AC38" s="77"/>
      <c r="AD38" s="77"/>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56"/>
      <c r="BR38" s="56"/>
      <c r="BS38" s="56"/>
      <c r="BT38" s="56"/>
      <c r="BU38" s="56"/>
      <c r="BV38" s="56"/>
      <c r="BW38" s="56"/>
      <c r="BX38" s="56"/>
      <c r="BY38" s="56"/>
      <c r="BZ38" s="56"/>
      <c r="CA38" s="56"/>
      <c r="CB38" s="56"/>
      <c r="CC38" s="56"/>
      <c r="CD38" s="56"/>
      <c r="CE38" s="56"/>
      <c r="CF38" s="56"/>
      <c r="CG38" s="56"/>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row>
    <row r="39" spans="1:121" s="3" customFormat="1" ht="30" customHeight="1" thickBot="1" x14ac:dyDescent="0.3">
      <c r="A39" s="31"/>
      <c r="B39" s="42" t="s">
        <v>54</v>
      </c>
      <c r="C39" s="38"/>
      <c r="D39" s="18">
        <v>0</v>
      </c>
      <c r="E39" s="54">
        <v>45938</v>
      </c>
      <c r="F39" s="54">
        <v>45940</v>
      </c>
      <c r="G39" s="72"/>
      <c r="H39" s="14"/>
      <c r="I39" s="26"/>
      <c r="J39" s="26"/>
      <c r="K39" s="26"/>
      <c r="L39" s="26"/>
      <c r="M39" s="26"/>
      <c r="N39" s="26"/>
      <c r="O39" s="26"/>
      <c r="P39" s="26"/>
      <c r="Q39" s="26"/>
      <c r="R39" s="26"/>
      <c r="S39" s="26"/>
      <c r="T39" s="26"/>
      <c r="U39" s="26"/>
      <c r="V39" s="26"/>
      <c r="W39" s="26"/>
      <c r="X39" s="26"/>
      <c r="Y39" s="26"/>
      <c r="Z39" s="26"/>
      <c r="AA39" s="26"/>
      <c r="AB39" s="26"/>
      <c r="AC39" s="77"/>
      <c r="AD39" s="77"/>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56"/>
      <c r="BR39" s="56"/>
      <c r="BS39" s="56"/>
      <c r="BT39" s="56"/>
      <c r="BU39" s="56"/>
      <c r="BV39" s="56"/>
      <c r="BW39" s="56"/>
      <c r="BX39" s="56"/>
      <c r="BY39" s="56"/>
      <c r="BZ39" s="56"/>
      <c r="CA39" s="56"/>
      <c r="CB39" s="56"/>
      <c r="CC39" s="56"/>
      <c r="CD39" s="56"/>
      <c r="CE39" s="56"/>
      <c r="CF39" s="56"/>
      <c r="CG39" s="56"/>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row>
    <row r="40" spans="1:121" s="3" customFormat="1" ht="30" customHeight="1" thickBot="1" x14ac:dyDescent="0.3">
      <c r="A40" s="31"/>
      <c r="B40" s="42" t="s">
        <v>55</v>
      </c>
      <c r="C40" s="38"/>
      <c r="D40" s="18">
        <v>0</v>
      </c>
      <c r="E40" s="54">
        <v>45940</v>
      </c>
      <c r="F40" s="54">
        <v>45945</v>
      </c>
      <c r="G40" s="72"/>
      <c r="H40" s="14"/>
      <c r="I40" s="26"/>
      <c r="J40" s="26"/>
      <c r="K40" s="26"/>
      <c r="L40" s="26"/>
      <c r="M40" s="26"/>
      <c r="N40" s="26"/>
      <c r="O40" s="26"/>
      <c r="P40" s="26"/>
      <c r="Q40" s="26"/>
      <c r="R40" s="26"/>
      <c r="S40" s="26"/>
      <c r="T40" s="26"/>
      <c r="U40" s="26"/>
      <c r="V40" s="26"/>
      <c r="W40" s="26"/>
      <c r="X40" s="26"/>
      <c r="Y40" s="26"/>
      <c r="Z40" s="26"/>
      <c r="AA40" s="26"/>
      <c r="AB40" s="26"/>
      <c r="AC40" s="77"/>
      <c r="AD40" s="77"/>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56"/>
      <c r="BR40" s="56"/>
      <c r="BS40" s="56"/>
      <c r="BT40" s="56"/>
      <c r="BU40" s="56"/>
      <c r="BV40" s="56"/>
      <c r="BW40" s="56"/>
      <c r="BX40" s="56"/>
      <c r="BY40" s="56"/>
      <c r="BZ40" s="56"/>
      <c r="CA40" s="56"/>
      <c r="CB40" s="56"/>
      <c r="CC40" s="56"/>
      <c r="CD40" s="56"/>
      <c r="CE40" s="56"/>
      <c r="CF40" s="56"/>
      <c r="CG40" s="56"/>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row>
    <row r="41" spans="1:121" s="83" customFormat="1" ht="30" customHeight="1" thickBot="1" x14ac:dyDescent="0.3">
      <c r="A41" s="80"/>
      <c r="B41" s="62" t="s">
        <v>36</v>
      </c>
      <c r="C41" s="38"/>
      <c r="D41" s="18"/>
      <c r="E41" s="54"/>
      <c r="F41" s="54"/>
      <c r="G41" s="72"/>
      <c r="H41" s="72"/>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c r="AY41" s="81"/>
      <c r="AZ41" s="81"/>
      <c r="BA41" s="81"/>
      <c r="BB41" s="81"/>
      <c r="BC41" s="81"/>
      <c r="BD41" s="81"/>
      <c r="BE41" s="81"/>
      <c r="BF41" s="81"/>
      <c r="BG41" s="81"/>
      <c r="BH41" s="81"/>
      <c r="BI41" s="81"/>
      <c r="BJ41" s="81"/>
      <c r="BK41" s="81"/>
      <c r="BL41" s="81"/>
      <c r="BM41" s="81"/>
      <c r="BN41" s="81"/>
      <c r="BO41" s="81"/>
      <c r="BP41" s="81"/>
      <c r="BQ41" s="81"/>
      <c r="BR41" s="81"/>
      <c r="BS41" s="81"/>
      <c r="BT41" s="81"/>
      <c r="BU41" s="81"/>
      <c r="BV41" s="81"/>
      <c r="BW41" s="81"/>
      <c r="BX41" s="81"/>
      <c r="BY41" s="81"/>
      <c r="BZ41" s="81"/>
      <c r="CA41" s="81"/>
      <c r="CB41" s="81"/>
      <c r="CC41" s="81"/>
      <c r="CD41" s="81"/>
      <c r="CE41" s="81"/>
      <c r="CF41" s="81"/>
      <c r="CG41" s="81"/>
      <c r="CH41" s="82"/>
      <c r="CI41" s="82"/>
      <c r="CJ41" s="82"/>
      <c r="CK41" s="82"/>
      <c r="CL41" s="82"/>
      <c r="CM41" s="82"/>
      <c r="CN41" s="82"/>
      <c r="CO41" s="82"/>
      <c r="CP41" s="82"/>
      <c r="CQ41" s="82"/>
      <c r="CR41" s="82"/>
      <c r="CS41" s="82"/>
      <c r="CT41" s="82"/>
      <c r="CU41" s="82"/>
      <c r="CV41" s="82"/>
      <c r="CW41" s="82"/>
      <c r="CX41" s="82"/>
      <c r="CY41" s="82"/>
      <c r="CZ41" s="82"/>
      <c r="DA41" s="82"/>
      <c r="DB41" s="82"/>
      <c r="DC41" s="82"/>
      <c r="DD41" s="82"/>
      <c r="DE41" s="82"/>
      <c r="DF41" s="82"/>
      <c r="DG41" s="82"/>
      <c r="DH41" s="82"/>
      <c r="DI41" s="82"/>
      <c r="DJ41" s="82"/>
      <c r="DK41" s="82"/>
      <c r="DL41" s="82"/>
      <c r="DM41" s="82"/>
      <c r="DN41" s="82"/>
      <c r="DO41" s="82"/>
      <c r="DP41" s="82"/>
      <c r="DQ41" s="82"/>
    </row>
    <row r="42" spans="1:121" s="3" customFormat="1" ht="30" customHeight="1" thickBot="1" x14ac:dyDescent="0.3">
      <c r="A42" s="31"/>
      <c r="B42" s="42" t="s">
        <v>63</v>
      </c>
      <c r="C42" s="38"/>
      <c r="D42" s="18">
        <v>0</v>
      </c>
      <c r="E42" s="54">
        <v>45933</v>
      </c>
      <c r="F42" s="54">
        <v>45933</v>
      </c>
      <c r="G42" s="72"/>
      <c r="H42" s="14"/>
      <c r="I42" s="26"/>
      <c r="J42" s="26"/>
      <c r="K42" s="26"/>
      <c r="L42" s="26"/>
      <c r="M42" s="26"/>
      <c r="N42" s="26"/>
      <c r="O42" s="26"/>
      <c r="P42" s="26"/>
      <c r="Q42" s="26"/>
      <c r="R42" s="26"/>
      <c r="S42" s="26"/>
      <c r="T42" s="26"/>
      <c r="U42" s="26"/>
      <c r="V42" s="26"/>
      <c r="W42" s="26"/>
      <c r="X42" s="26"/>
      <c r="Y42" s="26"/>
      <c r="Z42" s="26"/>
      <c r="AA42" s="26"/>
      <c r="AB42" s="26"/>
      <c r="AC42" s="77"/>
      <c r="AD42" s="77"/>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56"/>
      <c r="BR42" s="56"/>
      <c r="BS42" s="56"/>
      <c r="BT42" s="56"/>
      <c r="BU42" s="56"/>
      <c r="BV42" s="56"/>
      <c r="BW42" s="56"/>
      <c r="BX42" s="56"/>
      <c r="BY42" s="56"/>
      <c r="BZ42" s="56"/>
      <c r="CA42" s="56"/>
      <c r="CB42" s="56"/>
      <c r="CC42" s="56"/>
      <c r="CD42" s="56"/>
      <c r="CE42" s="56"/>
      <c r="CF42" s="56"/>
      <c r="CG42" s="56"/>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row>
    <row r="43" spans="1:121" s="3" customFormat="1" ht="30" customHeight="1" thickBot="1" x14ac:dyDescent="0.3">
      <c r="A43" s="31"/>
      <c r="B43" s="42" t="s">
        <v>64</v>
      </c>
      <c r="C43" s="38"/>
      <c r="D43" s="18">
        <v>0</v>
      </c>
      <c r="E43" s="54">
        <v>45936</v>
      </c>
      <c r="F43" s="54">
        <v>45936</v>
      </c>
      <c r="G43" s="72"/>
      <c r="H43" s="14"/>
      <c r="I43" s="26"/>
      <c r="J43" s="26"/>
      <c r="K43" s="26"/>
      <c r="L43" s="26"/>
      <c r="M43" s="26"/>
      <c r="N43" s="26"/>
      <c r="O43" s="26"/>
      <c r="P43" s="26"/>
      <c r="Q43" s="26"/>
      <c r="R43" s="26"/>
      <c r="S43" s="26"/>
      <c r="T43" s="26"/>
      <c r="U43" s="26"/>
      <c r="V43" s="26"/>
      <c r="W43" s="26"/>
      <c r="X43" s="26"/>
      <c r="Y43" s="26"/>
      <c r="Z43" s="26"/>
      <c r="AA43" s="26"/>
      <c r="AB43" s="26"/>
      <c r="AC43" s="77"/>
      <c r="AD43" s="77"/>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56"/>
      <c r="BR43" s="56"/>
      <c r="BS43" s="56"/>
      <c r="BT43" s="56"/>
      <c r="BU43" s="56"/>
      <c r="BV43" s="56"/>
      <c r="BW43" s="56"/>
      <c r="BX43" s="56"/>
      <c r="BY43" s="56"/>
      <c r="BZ43" s="56"/>
      <c r="CA43" s="56"/>
      <c r="CB43" s="56"/>
      <c r="CC43" s="56"/>
      <c r="CD43" s="56"/>
      <c r="CE43" s="56"/>
      <c r="CF43" s="56"/>
      <c r="CG43" s="56"/>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row>
    <row r="44" spans="1:121" s="3" customFormat="1" ht="30" customHeight="1" thickBot="1" x14ac:dyDescent="0.3">
      <c r="A44" s="31"/>
      <c r="B44" s="42" t="s">
        <v>65</v>
      </c>
      <c r="C44" s="38"/>
      <c r="D44" s="18">
        <v>0</v>
      </c>
      <c r="E44" s="54">
        <v>45937</v>
      </c>
      <c r="F44" s="54">
        <v>45954</v>
      </c>
      <c r="G44" s="72"/>
      <c r="H44" s="14"/>
      <c r="I44" s="26"/>
      <c r="J44" s="26"/>
      <c r="K44" s="26"/>
      <c r="L44" s="26"/>
      <c r="M44" s="26"/>
      <c r="N44" s="26"/>
      <c r="O44" s="26"/>
      <c r="P44" s="26"/>
      <c r="Q44" s="26"/>
      <c r="R44" s="26"/>
      <c r="S44" s="26"/>
      <c r="T44" s="26"/>
      <c r="U44" s="26"/>
      <c r="V44" s="26"/>
      <c r="W44" s="26"/>
      <c r="X44" s="26"/>
      <c r="Y44" s="26"/>
      <c r="Z44" s="26"/>
      <c r="AA44" s="26"/>
      <c r="AB44" s="26"/>
      <c r="AC44" s="77"/>
      <c r="AD44" s="77"/>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56"/>
      <c r="BR44" s="56"/>
      <c r="BS44" s="56"/>
      <c r="BT44" s="56"/>
      <c r="BU44" s="56"/>
      <c r="BV44" s="56"/>
      <c r="BW44" s="56"/>
      <c r="BX44" s="56"/>
      <c r="BY44" s="56"/>
      <c r="BZ44" s="56"/>
      <c r="CA44" s="56"/>
      <c r="CB44" s="56"/>
      <c r="CC44" s="56"/>
      <c r="CD44" s="56"/>
      <c r="CE44" s="56"/>
      <c r="CF44" s="56"/>
      <c r="CG44" s="56"/>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row>
    <row r="45" spans="1:121" s="3" customFormat="1" ht="30" customHeight="1" thickBot="1" x14ac:dyDescent="0.3">
      <c r="A45" s="30"/>
      <c r="B45" s="42" t="s">
        <v>66</v>
      </c>
      <c r="C45" s="38"/>
      <c r="D45" s="18">
        <v>0</v>
      </c>
      <c r="E45" s="54">
        <v>45954</v>
      </c>
      <c r="F45" s="54">
        <v>45958</v>
      </c>
      <c r="G45" s="72"/>
      <c r="H45" s="14">
        <f t="shared" si="17"/>
        <v>5</v>
      </c>
      <c r="I45" s="26"/>
      <c r="J45" s="26"/>
      <c r="K45" s="26"/>
      <c r="L45" s="26"/>
      <c r="M45" s="26"/>
      <c r="N45" s="26"/>
      <c r="O45" s="26"/>
      <c r="P45" s="26"/>
      <c r="Q45" s="26"/>
      <c r="R45" s="26"/>
      <c r="S45" s="26"/>
      <c r="T45" s="26"/>
      <c r="U45" s="27"/>
      <c r="V45" s="27"/>
      <c r="W45" s="26"/>
      <c r="X45" s="26"/>
      <c r="Y45" s="26"/>
      <c r="Z45" s="26"/>
      <c r="AA45" s="26"/>
      <c r="AB45" s="26"/>
      <c r="AC45" s="77"/>
      <c r="AD45" s="77"/>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56"/>
      <c r="BR45" s="56"/>
      <c r="BS45" s="56"/>
      <c r="BT45" s="56"/>
      <c r="BU45" s="56"/>
      <c r="BV45" s="56"/>
      <c r="BW45" s="56"/>
      <c r="BX45" s="56"/>
      <c r="BY45" s="57"/>
      <c r="BZ45" s="57"/>
      <c r="CA45" s="56"/>
      <c r="CB45" s="56"/>
      <c r="CC45" s="56"/>
      <c r="CD45" s="56"/>
      <c r="CE45" s="56"/>
      <c r="CF45" s="56"/>
      <c r="CG45" s="56"/>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row>
    <row r="46" spans="1:121" s="3" customFormat="1" ht="30" customHeight="1" thickBot="1" x14ac:dyDescent="0.3">
      <c r="A46" s="30"/>
      <c r="B46" s="42" t="s">
        <v>67</v>
      </c>
      <c r="C46" s="38"/>
      <c r="D46" s="18">
        <v>0</v>
      </c>
      <c r="E46" s="54">
        <v>45957</v>
      </c>
      <c r="F46" s="54">
        <v>45960</v>
      </c>
      <c r="G46" s="72"/>
      <c r="H46" s="14"/>
      <c r="I46" s="26"/>
      <c r="J46" s="26"/>
      <c r="K46" s="26"/>
      <c r="L46" s="26"/>
      <c r="M46" s="26"/>
      <c r="N46" s="26"/>
      <c r="O46" s="26"/>
      <c r="P46" s="26"/>
      <c r="Q46" s="26"/>
      <c r="R46" s="26"/>
      <c r="S46" s="26"/>
      <c r="T46" s="26"/>
      <c r="U46" s="27"/>
      <c r="V46" s="27"/>
      <c r="W46" s="26"/>
      <c r="X46" s="26"/>
      <c r="Y46" s="26"/>
      <c r="Z46" s="26"/>
      <c r="AA46" s="26"/>
      <c r="AB46" s="26"/>
      <c r="AC46" s="77"/>
      <c r="AD46" s="77"/>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56"/>
      <c r="BR46" s="56"/>
      <c r="BS46" s="56"/>
      <c r="BT46" s="56"/>
      <c r="BU46" s="56"/>
      <c r="BV46" s="56"/>
      <c r="BW46" s="56"/>
      <c r="BX46" s="56"/>
      <c r="BY46" s="57"/>
      <c r="BZ46" s="57"/>
      <c r="CA46" s="56"/>
      <c r="CB46" s="56"/>
      <c r="CC46" s="56"/>
      <c r="CD46" s="56"/>
      <c r="CE46" s="56"/>
      <c r="CF46" s="56"/>
      <c r="CG46" s="5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row>
    <row r="47" spans="1:121" s="83" customFormat="1" ht="30" customHeight="1" thickBot="1" x14ac:dyDescent="0.3">
      <c r="A47" s="100"/>
      <c r="B47" s="62" t="s">
        <v>32</v>
      </c>
      <c r="C47" s="42"/>
      <c r="D47" s="18"/>
      <c r="E47" s="54"/>
      <c r="F47" s="54"/>
      <c r="G47" s="72"/>
      <c r="H47" s="72" t="str">
        <f t="shared" si="17"/>
        <v/>
      </c>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c r="AZ47" s="81"/>
      <c r="BA47" s="81"/>
      <c r="BB47" s="81"/>
      <c r="BC47" s="81"/>
      <c r="BD47" s="81"/>
      <c r="BE47" s="81"/>
      <c r="BF47" s="81"/>
      <c r="BG47" s="81"/>
      <c r="BH47" s="81"/>
      <c r="BI47" s="81"/>
      <c r="BJ47" s="81"/>
      <c r="BK47" s="81"/>
      <c r="BL47" s="81"/>
      <c r="BM47" s="81"/>
      <c r="BN47" s="81"/>
      <c r="BO47" s="81"/>
      <c r="BP47" s="81"/>
      <c r="BQ47" s="81"/>
      <c r="BR47" s="81"/>
      <c r="BS47" s="81"/>
      <c r="BT47" s="81"/>
      <c r="BU47" s="81"/>
      <c r="BV47" s="81"/>
      <c r="BW47" s="81"/>
      <c r="BX47" s="81"/>
      <c r="BY47" s="81"/>
      <c r="BZ47" s="81"/>
      <c r="CA47" s="81"/>
      <c r="CB47" s="81"/>
      <c r="CC47" s="81"/>
      <c r="CD47" s="81"/>
      <c r="CE47" s="81"/>
      <c r="CF47" s="81"/>
      <c r="CG47" s="81"/>
      <c r="CH47" s="82"/>
      <c r="CI47" s="82"/>
      <c r="CJ47" s="82"/>
      <c r="CK47" s="82"/>
      <c r="CL47" s="82"/>
      <c r="CM47" s="82"/>
      <c r="CN47" s="82"/>
      <c r="CO47" s="82"/>
      <c r="CP47" s="82"/>
      <c r="CQ47" s="82"/>
      <c r="CR47" s="82"/>
      <c r="CS47" s="82"/>
      <c r="CT47" s="82"/>
      <c r="CU47" s="82"/>
      <c r="CV47" s="82"/>
      <c r="CW47" s="82"/>
      <c r="CX47" s="82"/>
      <c r="CY47" s="82"/>
      <c r="CZ47" s="82"/>
      <c r="DA47" s="82"/>
      <c r="DB47" s="82"/>
      <c r="DC47" s="82"/>
      <c r="DD47" s="82"/>
      <c r="DE47" s="82"/>
      <c r="DF47" s="82"/>
      <c r="DG47" s="82"/>
      <c r="DH47" s="82"/>
      <c r="DI47" s="82"/>
      <c r="DJ47" s="82"/>
      <c r="DK47" s="82"/>
      <c r="DL47" s="82"/>
      <c r="DM47" s="82"/>
      <c r="DN47" s="82"/>
      <c r="DO47" s="82"/>
      <c r="DP47" s="82"/>
      <c r="DQ47" s="82"/>
    </row>
    <row r="48" spans="1:121" s="3" customFormat="1" ht="30" customHeight="1" thickBot="1" x14ac:dyDescent="0.3">
      <c r="A48" s="30"/>
      <c r="B48" s="75" t="s">
        <v>40</v>
      </c>
      <c r="C48" s="38"/>
      <c r="D48" s="18">
        <v>0</v>
      </c>
      <c r="E48" s="54">
        <v>45959</v>
      </c>
      <c r="F48" s="54">
        <v>45959</v>
      </c>
      <c r="G48" s="72"/>
      <c r="H48" s="14">
        <f t="shared" si="17"/>
        <v>1</v>
      </c>
      <c r="I48" s="26"/>
      <c r="J48" s="26"/>
      <c r="K48" s="26"/>
      <c r="L48" s="26"/>
      <c r="M48" s="26"/>
      <c r="N48" s="26"/>
      <c r="O48" s="26"/>
      <c r="P48" s="26"/>
      <c r="Q48" s="26"/>
      <c r="R48" s="26"/>
      <c r="S48" s="26"/>
      <c r="T48" s="26"/>
      <c r="U48" s="26"/>
      <c r="V48" s="26"/>
      <c r="W48" s="26"/>
      <c r="X48" s="26"/>
      <c r="Y48" s="27"/>
      <c r="Z48" s="26"/>
      <c r="AA48" s="26"/>
      <c r="AB48" s="26"/>
      <c r="AC48" s="77"/>
      <c r="AD48" s="77"/>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56"/>
      <c r="BR48" s="56"/>
      <c r="BS48" s="56"/>
      <c r="BT48" s="56"/>
      <c r="BU48" s="56"/>
      <c r="BV48" s="56"/>
      <c r="BW48" s="56"/>
      <c r="BX48" s="56"/>
      <c r="BY48" s="56"/>
      <c r="BZ48" s="56"/>
      <c r="CA48" s="56"/>
      <c r="CB48" s="56"/>
      <c r="CC48" s="57"/>
      <c r="CD48" s="56"/>
      <c r="CE48" s="56"/>
      <c r="CF48" s="56"/>
      <c r="CG48" s="56"/>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row>
    <row r="49" spans="1:121" s="3" customFormat="1" ht="30" customHeight="1" thickBot="1" x14ac:dyDescent="0.3">
      <c r="A49" s="30"/>
      <c r="B49" s="42" t="s">
        <v>41</v>
      </c>
      <c r="C49" s="38"/>
      <c r="D49" s="18">
        <v>0</v>
      </c>
      <c r="E49" s="54">
        <v>45959</v>
      </c>
      <c r="F49" s="54">
        <v>45959</v>
      </c>
      <c r="G49" s="72"/>
      <c r="H49" s="14">
        <f t="shared" si="17"/>
        <v>1</v>
      </c>
      <c r="I49" s="26"/>
      <c r="J49" s="26"/>
      <c r="K49" s="26"/>
      <c r="L49" s="26"/>
      <c r="M49" s="26"/>
      <c r="N49" s="26"/>
      <c r="O49" s="26"/>
      <c r="P49" s="26"/>
      <c r="Q49" s="26"/>
      <c r="R49" s="26"/>
      <c r="S49" s="26"/>
      <c r="T49" s="26"/>
      <c r="U49" s="26"/>
      <c r="V49" s="26"/>
      <c r="W49" s="26"/>
      <c r="X49" s="26"/>
      <c r="Y49" s="26"/>
      <c r="Z49" s="26"/>
      <c r="AA49" s="26"/>
      <c r="AB49" s="26"/>
      <c r="AC49" s="77"/>
      <c r="AD49" s="77"/>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56"/>
      <c r="BR49" s="56"/>
      <c r="BS49" s="56"/>
      <c r="BT49" s="56"/>
      <c r="BU49" s="56"/>
      <c r="BV49" s="56"/>
      <c r="BW49" s="56"/>
      <c r="BX49" s="56"/>
      <c r="BY49" s="56"/>
      <c r="BZ49" s="56"/>
      <c r="CA49" s="56"/>
      <c r="CB49" s="56"/>
      <c r="CC49" s="56"/>
      <c r="CD49" s="56"/>
      <c r="CE49" s="56"/>
      <c r="CF49" s="56"/>
      <c r="CG49" s="56"/>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row>
    <row r="50" spans="1:121" s="3" customFormat="1" ht="30" customHeight="1" thickBot="1" x14ac:dyDescent="0.3">
      <c r="A50" s="30"/>
      <c r="B50" s="42" t="s">
        <v>57</v>
      </c>
      <c r="C50" s="38"/>
      <c r="D50" s="18">
        <v>0</v>
      </c>
      <c r="E50" s="54">
        <v>45959</v>
      </c>
      <c r="F50" s="54">
        <v>45959</v>
      </c>
      <c r="G50" s="72"/>
      <c r="H50" s="14"/>
      <c r="I50" s="26"/>
      <c r="J50" s="26"/>
      <c r="K50" s="26"/>
      <c r="L50" s="26"/>
      <c r="M50" s="26"/>
      <c r="N50" s="26"/>
      <c r="O50" s="26"/>
      <c r="P50" s="26"/>
      <c r="Q50" s="26"/>
      <c r="R50" s="26"/>
      <c r="S50" s="26"/>
      <c r="T50" s="26"/>
      <c r="U50" s="26"/>
      <c r="V50" s="26"/>
      <c r="W50" s="26"/>
      <c r="X50" s="26"/>
      <c r="Y50" s="26"/>
      <c r="Z50" s="26"/>
      <c r="AA50" s="26"/>
      <c r="AB50" s="26"/>
      <c r="AC50" s="77"/>
      <c r="AD50" s="77"/>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56"/>
      <c r="BR50" s="56"/>
      <c r="BS50" s="56"/>
      <c r="BT50" s="56"/>
      <c r="BU50" s="56"/>
      <c r="BV50" s="56"/>
      <c r="BW50" s="56"/>
      <c r="BX50" s="56"/>
      <c r="BY50" s="56"/>
      <c r="BZ50" s="56"/>
      <c r="CA50" s="56"/>
      <c r="CB50" s="56"/>
      <c r="CC50" s="56"/>
      <c r="CD50" s="56"/>
      <c r="CE50" s="56"/>
      <c r="CF50" s="56"/>
      <c r="CG50" s="56"/>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row>
    <row r="51" spans="1:121" s="83" customFormat="1" ht="30" customHeight="1" thickBot="1" x14ac:dyDescent="0.3">
      <c r="A51" s="100"/>
      <c r="B51" s="62" t="s">
        <v>34</v>
      </c>
      <c r="C51" s="38"/>
      <c r="D51" s="18"/>
      <c r="E51" s="54"/>
      <c r="F51" s="54"/>
      <c r="G51" s="72"/>
      <c r="H51" s="72"/>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c r="BE51" s="81"/>
      <c r="BF51" s="81"/>
      <c r="BG51" s="81"/>
      <c r="BH51" s="81"/>
      <c r="BI51" s="81"/>
      <c r="BJ51" s="81"/>
      <c r="BK51" s="81"/>
      <c r="BL51" s="81"/>
      <c r="BM51" s="81"/>
      <c r="BN51" s="81"/>
      <c r="BO51" s="81"/>
      <c r="BP51" s="81"/>
      <c r="BQ51" s="81"/>
      <c r="BR51" s="81"/>
      <c r="BS51" s="81"/>
      <c r="BT51" s="81"/>
      <c r="BU51" s="81"/>
      <c r="BV51" s="81"/>
      <c r="BW51" s="81"/>
      <c r="BX51" s="81"/>
      <c r="BY51" s="81"/>
      <c r="BZ51" s="81"/>
      <c r="CA51" s="81"/>
      <c r="CB51" s="81"/>
      <c r="CC51" s="81"/>
      <c r="CD51" s="81"/>
      <c r="CE51" s="81"/>
      <c r="CF51" s="81"/>
      <c r="CG51" s="81"/>
      <c r="CH51" s="82"/>
      <c r="CI51" s="82"/>
      <c r="CJ51" s="82"/>
      <c r="CK51" s="82"/>
      <c r="CL51" s="82"/>
      <c r="CM51" s="82"/>
      <c r="CN51" s="82"/>
      <c r="CO51" s="82"/>
      <c r="CP51" s="82"/>
      <c r="CQ51" s="82"/>
      <c r="CR51" s="82"/>
      <c r="CS51" s="82"/>
      <c r="CT51" s="82"/>
      <c r="CU51" s="82"/>
      <c r="CV51" s="82"/>
      <c r="CW51" s="82"/>
      <c r="CX51" s="82"/>
      <c r="CY51" s="82"/>
      <c r="CZ51" s="82"/>
      <c r="DA51" s="82"/>
      <c r="DB51" s="82"/>
      <c r="DC51" s="82"/>
      <c r="DD51" s="82"/>
      <c r="DE51" s="82"/>
      <c r="DF51" s="82"/>
      <c r="DG51" s="82"/>
      <c r="DH51" s="82"/>
      <c r="DI51" s="82"/>
      <c r="DJ51" s="82"/>
      <c r="DK51" s="82"/>
      <c r="DL51" s="82"/>
      <c r="DM51" s="82"/>
      <c r="DN51" s="82"/>
      <c r="DO51" s="82"/>
      <c r="DP51" s="82"/>
      <c r="DQ51" s="82"/>
    </row>
    <row r="52" spans="1:121" s="3" customFormat="1" ht="30" customHeight="1" thickBot="1" x14ac:dyDescent="0.3">
      <c r="A52" s="30"/>
      <c r="B52" s="42" t="s">
        <v>44</v>
      </c>
      <c r="C52" s="38"/>
      <c r="D52" s="18">
        <v>0</v>
      </c>
      <c r="E52" s="54">
        <v>45960</v>
      </c>
      <c r="F52" s="54">
        <v>45964</v>
      </c>
      <c r="G52" s="72"/>
      <c r="H52" s="14"/>
      <c r="I52" s="26"/>
      <c r="J52" s="26"/>
      <c r="K52" s="26"/>
      <c r="L52" s="26"/>
      <c r="M52" s="26"/>
      <c r="N52" s="26"/>
      <c r="O52" s="26"/>
      <c r="P52" s="26"/>
      <c r="Q52" s="26"/>
      <c r="R52" s="26"/>
      <c r="S52" s="26"/>
      <c r="T52" s="26"/>
      <c r="U52" s="26"/>
      <c r="V52" s="26"/>
      <c r="W52" s="26"/>
      <c r="X52" s="26"/>
      <c r="Y52" s="26"/>
      <c r="Z52" s="26"/>
      <c r="AA52" s="26"/>
      <c r="AB52" s="26"/>
      <c r="AC52" s="77"/>
      <c r="AD52" s="77"/>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56"/>
      <c r="BR52" s="56"/>
      <c r="BS52" s="56"/>
      <c r="BT52" s="56"/>
      <c r="BU52" s="56"/>
      <c r="BV52" s="56"/>
      <c r="BW52" s="56"/>
      <c r="BX52" s="56"/>
      <c r="BY52" s="56"/>
      <c r="BZ52" s="56"/>
      <c r="CA52" s="56"/>
      <c r="CB52" s="56"/>
      <c r="CC52" s="56"/>
      <c r="CD52" s="56"/>
      <c r="CE52" s="56"/>
      <c r="CF52" s="56"/>
      <c r="CG52" s="56"/>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row>
    <row r="53" spans="1:121" s="3" customFormat="1" ht="30" customHeight="1" thickBot="1" x14ac:dyDescent="0.3">
      <c r="A53" s="30"/>
      <c r="B53" s="42" t="s">
        <v>46</v>
      </c>
      <c r="C53" s="38"/>
      <c r="D53" s="18">
        <v>0</v>
      </c>
      <c r="E53" s="54">
        <v>45965</v>
      </c>
      <c r="F53" s="54">
        <v>45967</v>
      </c>
      <c r="G53" s="72"/>
      <c r="H53" s="14"/>
      <c r="I53" s="26"/>
      <c r="J53" s="26"/>
      <c r="K53" s="26"/>
      <c r="L53" s="26"/>
      <c r="M53" s="26"/>
      <c r="N53" s="26"/>
      <c r="O53" s="26"/>
      <c r="P53" s="26"/>
      <c r="Q53" s="26"/>
      <c r="R53" s="26"/>
      <c r="S53" s="26"/>
      <c r="T53" s="26"/>
      <c r="U53" s="26"/>
      <c r="V53" s="26"/>
      <c r="W53" s="26"/>
      <c r="X53" s="26"/>
      <c r="Y53" s="26"/>
      <c r="Z53" s="26"/>
      <c r="AA53" s="26"/>
      <c r="AB53" s="26"/>
      <c r="AC53" s="77"/>
      <c r="AD53" s="77"/>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56"/>
      <c r="BR53" s="56"/>
      <c r="BS53" s="56"/>
      <c r="BT53" s="56"/>
      <c r="BU53" s="56"/>
      <c r="BV53" s="56"/>
      <c r="BW53" s="56"/>
      <c r="BX53" s="56"/>
      <c r="BY53" s="56"/>
      <c r="BZ53" s="56"/>
      <c r="CA53" s="56"/>
      <c r="CB53" s="56"/>
      <c r="CC53" s="56"/>
      <c r="CD53" s="56"/>
      <c r="CE53" s="56"/>
      <c r="CF53" s="56"/>
      <c r="CG53" s="56"/>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row>
    <row r="54" spans="1:121" s="3" customFormat="1" ht="30" customHeight="1" thickBot="1" x14ac:dyDescent="0.3">
      <c r="A54" s="30"/>
      <c r="B54" s="42" t="s">
        <v>45</v>
      </c>
      <c r="C54" s="38"/>
      <c r="D54" s="18">
        <v>0</v>
      </c>
      <c r="E54" s="54">
        <v>45968</v>
      </c>
      <c r="F54" s="54">
        <v>45968</v>
      </c>
      <c r="G54" s="72"/>
      <c r="H54" s="14"/>
      <c r="I54" s="26"/>
      <c r="J54" s="26"/>
      <c r="K54" s="26"/>
      <c r="L54" s="26"/>
      <c r="M54" s="26"/>
      <c r="N54" s="26"/>
      <c r="O54" s="26"/>
      <c r="P54" s="26"/>
      <c r="Q54" s="26"/>
      <c r="R54" s="26"/>
      <c r="S54" s="26"/>
      <c r="T54" s="26"/>
      <c r="U54" s="26"/>
      <c r="V54" s="26"/>
      <c r="W54" s="26"/>
      <c r="X54" s="26"/>
      <c r="Y54" s="26"/>
      <c r="Z54" s="26"/>
      <c r="AA54" s="26"/>
      <c r="AB54" s="26"/>
      <c r="AC54" s="77"/>
      <c r="AD54" s="77"/>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56"/>
      <c r="BR54" s="56"/>
      <c r="BS54" s="56"/>
      <c r="BT54" s="56"/>
      <c r="BU54" s="56"/>
      <c r="BV54" s="56"/>
      <c r="BW54" s="56"/>
      <c r="BX54" s="56"/>
      <c r="BY54" s="56"/>
      <c r="BZ54" s="56"/>
      <c r="CA54" s="56"/>
      <c r="CB54" s="56"/>
      <c r="CC54" s="56"/>
      <c r="CD54" s="56"/>
      <c r="CE54" s="56"/>
      <c r="CF54" s="56"/>
      <c r="CG54" s="56"/>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row>
    <row r="55" spans="1:121" s="3" customFormat="1" ht="30" customHeight="1" thickBot="1" x14ac:dyDescent="0.3">
      <c r="A55" s="30" t="s">
        <v>8</v>
      </c>
      <c r="B55" s="19" t="s">
        <v>33</v>
      </c>
      <c r="C55" s="39"/>
      <c r="D55" s="20"/>
      <c r="E55" s="47"/>
      <c r="F55" s="48"/>
      <c r="G55" s="73"/>
      <c r="H55" s="14" t="str">
        <f t="shared" si="17"/>
        <v/>
      </c>
      <c r="I55" s="122"/>
      <c r="J55" s="123"/>
      <c r="K55" s="123"/>
      <c r="L55" s="123"/>
      <c r="M55" s="123"/>
      <c r="N55" s="123"/>
      <c r="O55" s="123"/>
      <c r="P55" s="123"/>
      <c r="Q55" s="123"/>
      <c r="R55" s="123"/>
      <c r="S55" s="123"/>
      <c r="T55" s="123"/>
      <c r="U55" s="123"/>
      <c r="V55" s="123"/>
      <c r="W55" s="123"/>
      <c r="X55" s="123"/>
      <c r="Y55" s="123"/>
      <c r="Z55" s="123"/>
      <c r="AA55" s="123"/>
      <c r="AB55" s="123"/>
      <c r="AC55" s="123"/>
      <c r="AD55" s="123"/>
      <c r="AE55" s="123"/>
      <c r="AF55" s="123"/>
      <c r="AG55" s="123"/>
      <c r="AH55" s="123"/>
      <c r="AI55" s="123"/>
      <c r="AJ55" s="123"/>
      <c r="AK55" s="123"/>
      <c r="AL55" s="123"/>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3"/>
      <c r="BQ55" s="123"/>
      <c r="BR55" s="123"/>
      <c r="BS55" s="123"/>
      <c r="BT55" s="123"/>
      <c r="BU55" s="123"/>
      <c r="BV55" s="123"/>
      <c r="BW55" s="123"/>
      <c r="BX55" s="123"/>
      <c r="BY55" s="123"/>
      <c r="BZ55" s="123"/>
      <c r="CA55" s="123"/>
      <c r="CB55" s="123"/>
      <c r="CC55" s="123"/>
      <c r="CD55" s="123"/>
      <c r="CE55" s="123"/>
      <c r="CF55" s="123"/>
      <c r="CG55" s="124"/>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row>
    <row r="56" spans="1:121" s="3" customFormat="1" ht="30" customHeight="1" thickBot="1" x14ac:dyDescent="0.3">
      <c r="A56" s="30"/>
      <c r="B56" s="106" t="s">
        <v>49</v>
      </c>
      <c r="C56" s="40"/>
      <c r="D56" s="21"/>
      <c r="E56" s="49"/>
      <c r="F56" s="49"/>
      <c r="G56" s="74"/>
      <c r="H56" s="14" t="str">
        <f t="shared" si="17"/>
        <v/>
      </c>
      <c r="I56" s="26"/>
      <c r="J56" s="26"/>
      <c r="K56" s="26"/>
      <c r="L56" s="26"/>
      <c r="M56" s="26"/>
      <c r="N56" s="26"/>
      <c r="O56" s="26"/>
      <c r="P56" s="26"/>
      <c r="Q56" s="26"/>
      <c r="R56" s="26"/>
      <c r="S56" s="26"/>
      <c r="T56" s="26"/>
      <c r="U56" s="26"/>
      <c r="V56" s="26"/>
      <c r="W56" s="26"/>
      <c r="X56" s="26"/>
      <c r="Y56" s="26"/>
      <c r="Z56" s="26"/>
      <c r="AA56" s="26"/>
      <c r="AB56" s="26"/>
      <c r="AC56" s="77"/>
      <c r="AD56" s="77"/>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t="s">
        <v>53</v>
      </c>
      <c r="BO56" s="26"/>
      <c r="BP56" s="26"/>
      <c r="BQ56" s="56"/>
      <c r="BR56" s="56"/>
      <c r="BS56" s="56"/>
      <c r="BT56" s="56"/>
      <c r="BU56" s="56"/>
      <c r="BV56" s="56"/>
      <c r="BW56" s="56"/>
      <c r="BX56" s="56"/>
      <c r="BY56" s="56"/>
      <c r="BZ56" s="56"/>
      <c r="CA56" s="56"/>
      <c r="CB56" s="56"/>
      <c r="CC56" s="56"/>
      <c r="CD56" s="56"/>
      <c r="CE56" s="56"/>
      <c r="CF56" s="56"/>
      <c r="CG56" s="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row>
    <row r="57" spans="1:121" s="3" customFormat="1" ht="30" customHeight="1" thickBot="1" x14ac:dyDescent="0.3">
      <c r="A57" s="30"/>
      <c r="B57" s="107" t="s">
        <v>51</v>
      </c>
      <c r="C57" s="40"/>
      <c r="D57" s="21"/>
      <c r="E57" s="49"/>
      <c r="F57" s="49"/>
      <c r="G57" s="74"/>
      <c r="H57" s="14" t="str">
        <f t="shared" si="17"/>
        <v/>
      </c>
      <c r="I57" s="26"/>
      <c r="J57" s="26"/>
      <c r="K57" s="26"/>
      <c r="L57" s="26"/>
      <c r="M57" s="26"/>
      <c r="N57" s="26"/>
      <c r="O57" s="26"/>
      <c r="P57" s="26"/>
      <c r="Q57" s="26"/>
      <c r="R57" s="26"/>
      <c r="S57" s="26"/>
      <c r="T57" s="26"/>
      <c r="U57" s="26"/>
      <c r="V57" s="26"/>
      <c r="W57" s="26"/>
      <c r="X57" s="26"/>
      <c r="Y57" s="26"/>
      <c r="Z57" s="26"/>
      <c r="AA57" s="26"/>
      <c r="AB57" s="26"/>
      <c r="AC57" s="77"/>
      <c r="AD57" s="77"/>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56"/>
      <c r="BR57" s="56"/>
      <c r="BS57" s="56"/>
      <c r="BT57" s="56"/>
      <c r="BU57" s="56"/>
      <c r="BV57" s="56"/>
      <c r="BW57" s="56"/>
      <c r="BX57" s="56"/>
      <c r="BY57" s="56"/>
      <c r="BZ57" s="56"/>
      <c r="CA57" s="56"/>
      <c r="CB57" s="56"/>
      <c r="CC57" s="56"/>
      <c r="CD57" s="56"/>
      <c r="CE57" s="56"/>
      <c r="CF57" s="56"/>
      <c r="CG57" s="56"/>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row>
    <row r="58" spans="1:121" s="3" customFormat="1" ht="30" customHeight="1" thickBot="1" x14ac:dyDescent="0.3">
      <c r="A58" s="30"/>
      <c r="B58" s="107" t="s">
        <v>60</v>
      </c>
      <c r="C58" s="40"/>
      <c r="D58" s="21"/>
      <c r="E58" s="49"/>
      <c r="F58" s="49"/>
      <c r="G58" s="74"/>
      <c r="H58" s="14"/>
      <c r="I58" s="26"/>
      <c r="J58" s="26"/>
      <c r="K58" s="26"/>
      <c r="L58" s="26"/>
      <c r="M58" s="26"/>
      <c r="N58" s="26"/>
      <c r="O58" s="26"/>
      <c r="P58" s="26"/>
      <c r="Q58" s="26"/>
      <c r="R58" s="26"/>
      <c r="S58" s="26"/>
      <c r="T58" s="26"/>
      <c r="U58" s="26"/>
      <c r="V58" s="26"/>
      <c r="W58" s="26"/>
      <c r="X58" s="26"/>
      <c r="Y58" s="26"/>
      <c r="Z58" s="26"/>
      <c r="AA58" s="26"/>
      <c r="AB58" s="26"/>
      <c r="AC58" s="77"/>
      <c r="AD58" s="77"/>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56"/>
      <c r="BR58" s="56"/>
      <c r="BS58" s="56"/>
      <c r="BT58" s="56"/>
      <c r="BU58" s="56"/>
      <c r="BV58" s="56"/>
      <c r="BW58" s="56"/>
      <c r="BX58" s="56"/>
      <c r="BY58" s="56"/>
      <c r="BZ58" s="56"/>
      <c r="CA58" s="56"/>
      <c r="CB58" s="56"/>
      <c r="CC58" s="56"/>
      <c r="CD58" s="56"/>
      <c r="CE58" s="56"/>
      <c r="CF58" s="56"/>
      <c r="CG58" s="56"/>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row>
    <row r="59" spans="1:121" s="3" customFormat="1" ht="30" customHeight="1" thickBot="1" x14ac:dyDescent="0.3">
      <c r="A59" s="30"/>
      <c r="B59" s="107" t="s">
        <v>58</v>
      </c>
      <c r="C59" s="40"/>
      <c r="D59" s="21"/>
      <c r="E59" s="49"/>
      <c r="F59" s="49"/>
      <c r="G59" s="74"/>
      <c r="H59" s="14" t="str">
        <f t="shared" si="17"/>
        <v/>
      </c>
      <c r="I59" s="26"/>
      <c r="J59" s="26"/>
      <c r="K59" s="26"/>
      <c r="L59" s="26"/>
      <c r="M59" s="26"/>
      <c r="N59" s="26"/>
      <c r="O59" s="26"/>
      <c r="P59" s="26"/>
      <c r="Q59" s="26"/>
      <c r="R59" s="26"/>
      <c r="S59" s="26"/>
      <c r="T59" s="26"/>
      <c r="U59" s="26"/>
      <c r="V59" s="26"/>
      <c r="W59" s="26"/>
      <c r="X59" s="26"/>
      <c r="Y59" s="26"/>
      <c r="Z59" s="26"/>
      <c r="AA59" s="26"/>
      <c r="AB59" s="26"/>
      <c r="AC59" s="77"/>
      <c r="AD59" s="77"/>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56"/>
      <c r="BR59" s="56"/>
      <c r="BS59" s="56"/>
      <c r="BT59" s="56"/>
      <c r="BU59" s="56"/>
      <c r="BV59" s="56"/>
      <c r="BW59" s="56"/>
      <c r="BX59" s="56"/>
      <c r="BY59" s="56"/>
      <c r="BZ59" s="56"/>
      <c r="CA59" s="56"/>
      <c r="CB59" s="56"/>
      <c r="CC59" s="56"/>
      <c r="CD59" s="56"/>
      <c r="CE59" s="56"/>
      <c r="CF59" s="56"/>
      <c r="CG59" s="56"/>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row>
    <row r="60" spans="1:121" s="3" customFormat="1" ht="30" customHeight="1" thickBot="1" x14ac:dyDescent="0.3">
      <c r="A60" s="30"/>
      <c r="B60" s="107" t="s">
        <v>59</v>
      </c>
      <c r="C60" s="40"/>
      <c r="D60" s="21"/>
      <c r="E60" s="49"/>
      <c r="F60" s="49"/>
      <c r="G60" s="74"/>
      <c r="H60" s="14" t="str">
        <f t="shared" si="17"/>
        <v/>
      </c>
      <c r="I60" s="26"/>
      <c r="J60" s="26"/>
      <c r="K60" s="26"/>
      <c r="L60" s="26"/>
      <c r="M60" s="26"/>
      <c r="N60" s="26"/>
      <c r="O60" s="26"/>
      <c r="P60" s="26"/>
      <c r="Q60" s="26"/>
      <c r="R60" s="26"/>
      <c r="S60" s="26"/>
      <c r="T60" s="26"/>
      <c r="U60" s="26"/>
      <c r="V60" s="26"/>
      <c r="W60" s="26"/>
      <c r="X60" s="26"/>
      <c r="Y60" s="26"/>
      <c r="Z60" s="26"/>
      <c r="AA60" s="26"/>
      <c r="AB60" s="26"/>
      <c r="AC60" s="77"/>
      <c r="AD60" s="77"/>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56"/>
      <c r="BR60" s="56"/>
      <c r="BS60" s="56"/>
      <c r="BT60" s="56"/>
      <c r="BU60" s="56"/>
      <c r="BV60" s="56"/>
      <c r="BW60" s="56"/>
      <c r="BX60" s="56"/>
      <c r="BY60" s="56"/>
      <c r="BZ60" s="56"/>
      <c r="CA60" s="56"/>
      <c r="CB60" s="56"/>
      <c r="CC60" s="56"/>
      <c r="CD60" s="56"/>
      <c r="CE60" s="56"/>
      <c r="CF60" s="56"/>
      <c r="CG60" s="56"/>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row>
    <row r="61" spans="1:121" s="3" customFormat="1" ht="30" customHeight="1" thickBot="1" x14ac:dyDescent="0.3">
      <c r="A61" s="30"/>
      <c r="B61" s="107" t="s">
        <v>50</v>
      </c>
      <c r="C61" s="40"/>
      <c r="D61" s="21"/>
      <c r="E61" s="49"/>
      <c r="F61" s="49"/>
      <c r="G61" s="74"/>
      <c r="H61" s="14" t="str">
        <f t="shared" si="17"/>
        <v/>
      </c>
      <c r="I61" s="26"/>
      <c r="J61" s="26"/>
      <c r="K61" s="26"/>
      <c r="L61" s="26"/>
      <c r="M61" s="26"/>
      <c r="N61" s="26"/>
      <c r="O61" s="26"/>
      <c r="P61" s="26"/>
      <c r="Q61" s="26"/>
      <c r="R61" s="26"/>
      <c r="S61" s="26"/>
      <c r="T61" s="26"/>
      <c r="U61" s="26"/>
      <c r="V61" s="26"/>
      <c r="W61" s="26"/>
      <c r="X61" s="26"/>
      <c r="Y61" s="26"/>
      <c r="Z61" s="26"/>
      <c r="AA61" s="26"/>
      <c r="AB61" s="26"/>
      <c r="AC61" s="77"/>
      <c r="AD61" s="77"/>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56"/>
      <c r="BR61" s="56"/>
      <c r="BS61" s="56"/>
      <c r="BT61" s="56"/>
      <c r="BU61" s="56"/>
      <c r="BV61" s="56"/>
      <c r="BW61" s="56"/>
      <c r="BX61" s="56"/>
      <c r="BY61" s="56"/>
      <c r="BZ61" s="56"/>
      <c r="CA61" s="56"/>
      <c r="CB61" s="56"/>
      <c r="CC61" s="56"/>
      <c r="CD61" s="56"/>
      <c r="CE61" s="56"/>
      <c r="CF61" s="56"/>
      <c r="CG61" s="56"/>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row>
    <row r="62" spans="1:121" s="3" customFormat="1" ht="30" customHeight="1" thickBot="1" x14ac:dyDescent="0.3">
      <c r="A62" s="30" t="s">
        <v>8</v>
      </c>
      <c r="B62" s="63"/>
      <c r="C62" s="64"/>
      <c r="D62" s="65"/>
      <c r="E62" s="66"/>
      <c r="F62" s="67"/>
      <c r="G62" s="14"/>
      <c r="H62" s="14" t="str">
        <f t="shared" si="17"/>
        <v/>
      </c>
      <c r="I62" s="26"/>
      <c r="J62" s="26"/>
      <c r="K62" s="26"/>
      <c r="L62" s="26"/>
      <c r="M62" s="26"/>
      <c r="N62" s="26"/>
      <c r="O62" s="26"/>
      <c r="P62" s="26"/>
      <c r="Q62" s="26"/>
      <c r="R62" s="26"/>
      <c r="S62" s="26"/>
      <c r="T62" s="26"/>
      <c r="U62" s="26"/>
      <c r="V62" s="26"/>
      <c r="W62" s="26"/>
      <c r="X62" s="26"/>
      <c r="Y62" s="26"/>
      <c r="Z62" s="26"/>
      <c r="AA62" s="26"/>
      <c r="AB62" s="56"/>
      <c r="AC62" s="56"/>
      <c r="AD62" s="5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56"/>
      <c r="BR62" s="56"/>
      <c r="BS62" s="56"/>
      <c r="BT62" s="56"/>
      <c r="BU62" s="56"/>
      <c r="BV62" s="56"/>
      <c r="BW62" s="56"/>
      <c r="BX62" s="56"/>
      <c r="BY62" s="56"/>
      <c r="BZ62" s="56"/>
      <c r="CA62" s="56"/>
      <c r="CB62" s="56"/>
      <c r="CC62" s="56"/>
      <c r="CD62" s="56"/>
      <c r="CE62" s="56"/>
      <c r="CF62" s="56"/>
      <c r="CG62" s="56"/>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row>
    <row r="63" spans="1:121" s="3" customFormat="1" ht="30" customHeight="1" thickBot="1" x14ac:dyDescent="0.3">
      <c r="A63" s="30"/>
      <c r="B63" s="68"/>
      <c r="C63" s="64"/>
      <c r="D63" s="65"/>
      <c r="E63" s="69"/>
      <c r="F63" s="69"/>
      <c r="G63" s="14"/>
      <c r="H63" s="14" t="str">
        <f t="shared" si="17"/>
        <v/>
      </c>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row>
    <row r="64" spans="1:121" s="3" customFormat="1" ht="30" customHeight="1" thickBot="1" x14ac:dyDescent="0.3">
      <c r="A64" s="30"/>
      <c r="B64" s="68"/>
      <c r="C64" s="64"/>
      <c r="D64" s="65"/>
      <c r="E64" s="69"/>
      <c r="F64" s="69"/>
      <c r="G64" s="14"/>
      <c r="H64" s="14" t="str">
        <f t="shared" si="17"/>
        <v/>
      </c>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row>
    <row r="65" spans="1:121" s="3" customFormat="1" ht="30" customHeight="1" thickBot="1" x14ac:dyDescent="0.3">
      <c r="A65" s="30"/>
      <c r="B65" s="68"/>
      <c r="C65" s="64"/>
      <c r="D65" s="65"/>
      <c r="E65" s="69"/>
      <c r="F65" s="69"/>
      <c r="G65" s="14"/>
      <c r="H65" s="14" t="str">
        <f t="shared" si="17"/>
        <v/>
      </c>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row>
    <row r="66" spans="1:121" s="3" customFormat="1" ht="30" customHeight="1" thickBot="1" x14ac:dyDescent="0.3">
      <c r="A66" s="30"/>
      <c r="B66" s="68"/>
      <c r="C66" s="64"/>
      <c r="D66" s="65"/>
      <c r="E66" s="69"/>
      <c r="F66" s="69"/>
      <c r="G66" s="14"/>
      <c r="H66" s="14" t="str">
        <f t="shared" si="17"/>
        <v/>
      </c>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row>
    <row r="67" spans="1:121" s="3" customFormat="1" ht="30" customHeight="1" thickBot="1" x14ac:dyDescent="0.3">
      <c r="A67" s="30"/>
      <c r="B67" s="68"/>
      <c r="C67" s="64"/>
      <c r="D67" s="65"/>
      <c r="E67" s="69"/>
      <c r="F67" s="69"/>
      <c r="G67" s="14"/>
      <c r="H67" s="14" t="str">
        <f t="shared" si="17"/>
        <v/>
      </c>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row>
    <row r="68" spans="1:121" s="3" customFormat="1" ht="30" customHeight="1" thickBot="1" x14ac:dyDescent="0.3">
      <c r="A68" s="30" t="s">
        <v>9</v>
      </c>
      <c r="B68" s="43"/>
      <c r="C68" s="41"/>
      <c r="D68" s="13"/>
      <c r="E68" s="55"/>
      <c r="F68" s="55"/>
      <c r="G68" s="14"/>
      <c r="H68" s="14" t="str">
        <f t="shared" si="17"/>
        <v/>
      </c>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row>
    <row r="69" spans="1:121" s="3" customFormat="1" ht="30" customHeight="1" thickBot="1" x14ac:dyDescent="0.3">
      <c r="A69" s="31"/>
      <c r="B69" s="22"/>
      <c r="C69" s="23"/>
      <c r="D69" s="24"/>
      <c r="E69" s="50"/>
      <c r="F69" s="51"/>
      <c r="G69" s="25"/>
      <c r="H69" s="25"/>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row>
    <row r="70" spans="1:121" ht="30" customHeight="1" x14ac:dyDescent="0.25">
      <c r="G70" s="6"/>
    </row>
    <row r="71" spans="1:121" ht="30" customHeight="1" x14ac:dyDescent="0.25">
      <c r="C71" s="11"/>
      <c r="F71" s="32"/>
    </row>
    <row r="72" spans="1:121" ht="30" customHeight="1" x14ac:dyDescent="0.25">
      <c r="C72" s="12"/>
    </row>
  </sheetData>
  <mergeCells count="21">
    <mergeCell ref="C2:D2"/>
    <mergeCell ref="C3:D3"/>
    <mergeCell ref="P3:T3"/>
    <mergeCell ref="U3:Y3"/>
    <mergeCell ref="Z3:AD3"/>
    <mergeCell ref="E2:F2"/>
    <mergeCell ref="I3:O3"/>
    <mergeCell ref="I7:CG7"/>
    <mergeCell ref="I32:CG32"/>
    <mergeCell ref="I55:CG55"/>
    <mergeCell ref="BS3:BW3"/>
    <mergeCell ref="BX3:CB3"/>
    <mergeCell ref="CC3:CG3"/>
    <mergeCell ref="BD3:BH3"/>
    <mergeCell ref="BI3:BM3"/>
    <mergeCell ref="BN3:BR3"/>
    <mergeCell ref="AE3:AI3"/>
    <mergeCell ref="AJ3:AN3"/>
    <mergeCell ref="AO3:AS3"/>
    <mergeCell ref="AT3:AX3"/>
    <mergeCell ref="AY3:BC3"/>
  </mergeCells>
  <conditionalFormatting sqref="D6:D69">
    <cfRule type="dataBar" priority="17">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4:DP6 I7 CH7:DP7 I8:DP31 I32 CH32:DP33 I33:CG33 I34:DP54 I55 CH55:DP55 BM56:DP67 I56:BL69">
    <cfRule type="expression" dxfId="2" priority="36">
      <formula>AND(TODAY()&gt;=I$4,TODAY()&lt;J$4)</formula>
    </cfRule>
  </conditionalFormatting>
  <conditionalFormatting sqref="I6:DP6 I7 CH7:DP7 I8:DP31 I32 CH32:DP33 I33:CG33 I34:DP54 I55 CH55:DP55 BM56:DP67 I56:BL69">
    <cfRule type="expression" dxfId="1" priority="30">
      <formula>AND(task_start&lt;=I$4,ROUNDDOWN((task_end-task_start+1)*task_progress,0)+task_start-1&gt;=I$4)</formula>
    </cfRule>
    <cfRule type="expression" dxfId="0" priority="31" stopIfTrue="1">
      <formula>AND(task_end&gt;=I$4,task_start&lt;J$4)</formula>
    </cfRule>
  </conditionalFormatting>
  <dataValidations disablePrompts="1" count="1">
    <dataValidation type="whole" operator="greaterThanOrEqual" allowBlank="1" showInputMessage="1" promptTitle="Mostrar semana" prompt="Al cambiar este número, se desplazará la vista del diagrama de Gantt." sqref="E3" xr:uid="{00000000-0002-0000-0000-000000000000}">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D6:D69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Carta Gatt</vt:lpstr>
      <vt:lpstr>Inicio_del_proyecto</vt:lpstr>
      <vt:lpstr>Semana_para_mostrar</vt:lpstr>
      <vt:lpstr>'Carta Gatt'!task_end</vt:lpstr>
      <vt:lpstr>'Carta Gatt'!task_progress</vt:lpstr>
      <vt:lpstr>'Carta Gatt'!task_start</vt:lpstr>
      <vt:lpstr>'Carta Gatt'!Títulos_a_imprimir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2025-09-12T03:32:05Z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