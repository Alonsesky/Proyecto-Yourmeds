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C131F980-867F-4B0B-9A2B-927851B8F382}" xr6:coauthVersionLast="47" xr6:coauthVersionMax="47" xr10:uidLastSave="{00000000-0000-0000-0000-000000000000}"/>
  <bookViews>
    <workbookView xWindow="-120" yWindow="-120" windowWidth="29040" windowHeight="15720" xr2:uid="{00000000-000D-0000-FFFF-FFFF00000000}"/>
  </bookViews>
  <sheets>
    <sheet name="Carta Gatt" sheetId="11" r:id="rId1"/>
  </sheets>
  <definedNames>
    <definedName name="hoy" localSheetId="0">TODAY()</definedName>
    <definedName name="Inicio_del_proyecto">'Carta Gatt'!$E$2</definedName>
    <definedName name="Semana_para_mostrar">'Carta Gatt'!$E$3</definedName>
    <definedName name="task_end" localSheetId="0">'Carta Gatt'!$F1</definedName>
    <definedName name="task_progress" localSheetId="0">'Carta Gatt'!$D1</definedName>
    <definedName name="task_start" localSheetId="0">'Carta Gatt'!$E1</definedName>
    <definedName name="_xlnm.Print_Titles" localSheetId="0">'Carta Gatt'!$3:$5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1" l="1"/>
  <c r="CN4" i="11" s="1"/>
  <c r="CN5" i="11" s="1"/>
  <c r="F12" i="11"/>
  <c r="F10" i="11"/>
  <c r="H24" i="11"/>
  <c r="H22" i="11"/>
  <c r="H23" i="11"/>
  <c r="H26" i="11"/>
  <c r="H27" i="11"/>
  <c r="H28" i="11"/>
  <c r="H8" i="11"/>
  <c r="CH4" i="11" l="1"/>
  <c r="CK4" i="11"/>
  <c r="CJ4" i="11"/>
  <c r="CJ5" i="11" s="1"/>
  <c r="CI4" i="11"/>
  <c r="CI5" i="11" s="1"/>
  <c r="CM4" i="11"/>
  <c r="CM5" i="11" s="1"/>
  <c r="CL4" i="11"/>
  <c r="CL5" i="11" s="1"/>
  <c r="CO4" i="11"/>
  <c r="CO5" i="11" s="1"/>
  <c r="CH5" i="11"/>
  <c r="H6" i="11"/>
  <c r="CK5" i="11" l="1"/>
  <c r="CK3" i="11"/>
  <c r="K4" i="11"/>
  <c r="AA4" i="11"/>
  <c r="AQ4" i="11"/>
  <c r="BG4" i="11"/>
  <c r="BG3" i="11" s="1"/>
  <c r="BW4" i="11"/>
  <c r="O4" i="11"/>
  <c r="AC4" i="11"/>
  <c r="AC3" i="11" s="1"/>
  <c r="AS4" i="11"/>
  <c r="BY4" i="11"/>
  <c r="Q4" i="11"/>
  <c r="AD4" i="11"/>
  <c r="AT4" i="11"/>
  <c r="BZ4" i="11"/>
  <c r="AU4" i="11"/>
  <c r="S4" i="11"/>
  <c r="S3" i="11" s="1"/>
  <c r="AF4" i="11"/>
  <c r="AV4" i="11"/>
  <c r="CB4" i="11"/>
  <c r="BM4" i="11"/>
  <c r="U4" i="11"/>
  <c r="AH4" i="11"/>
  <c r="AH3" i="11" s="1"/>
  <c r="AX4" i="11"/>
  <c r="BN4" i="11"/>
  <c r="V4" i="11"/>
  <c r="AI4" i="11"/>
  <c r="AY4" i="11"/>
  <c r="BO4" i="11"/>
  <c r="W4" i="11"/>
  <c r="AJ4" i="11"/>
  <c r="AZ4" i="11"/>
  <c r="BP4" i="11"/>
  <c r="X4" i="11"/>
  <c r="X3" i="11" s="1"/>
  <c r="BQ4" i="11"/>
  <c r="BQ3" i="11" s="1"/>
  <c r="AL4" i="11"/>
  <c r="BB4" i="11"/>
  <c r="BB3" i="11" s="1"/>
  <c r="BR4" i="11"/>
  <c r="I4" i="11"/>
  <c r="I3" i="11" s="1"/>
  <c r="BC4" i="11"/>
  <c r="AN4" i="11"/>
  <c r="BD4" i="11"/>
  <c r="BT4" i="11"/>
  <c r="L4" i="11"/>
  <c r="Y4" i="11"/>
  <c r="BE4" i="11"/>
  <c r="Z4" i="11"/>
  <c r="BF4" i="11"/>
  <c r="N4" i="11"/>
  <c r="N3" i="11" s="1"/>
  <c r="AB4" i="11"/>
  <c r="AR4" i="11"/>
  <c r="AR3" i="11" s="1"/>
  <c r="BH4" i="11"/>
  <c r="BX4" i="11"/>
  <c r="P4" i="11"/>
  <c r="BI4" i="11"/>
  <c r="BJ4" i="11"/>
  <c r="R4" i="11"/>
  <c r="AE4" i="11"/>
  <c r="BK4" i="11"/>
  <c r="CA4" i="11"/>
  <c r="CA3" i="11" s="1"/>
  <c r="BL4" i="11"/>
  <c r="BL3" i="11" s="1"/>
  <c r="T4" i="11"/>
  <c r="AG4" i="11"/>
  <c r="AW4" i="11"/>
  <c r="AW3" i="11" s="1"/>
  <c r="CC4" i="11"/>
  <c r="CD4" i="11"/>
  <c r="CE4" i="11"/>
  <c r="CF4" i="11"/>
  <c r="CF3" i="11" s="1"/>
  <c r="AK4" i="11"/>
  <c r="BA4" i="11"/>
  <c r="CG4" i="11"/>
  <c r="J4" i="11"/>
  <c r="AM4" i="11"/>
  <c r="AM3" i="11" s="1"/>
  <c r="BS4" i="11"/>
  <c r="AO4" i="11"/>
  <c r="BU4" i="11"/>
  <c r="M4" i="11"/>
  <c r="AP4" i="11"/>
  <c r="BV4" i="11"/>
  <c r="BV3" i="11" s="1"/>
  <c r="H14" i="11"/>
  <c r="H7" i="11"/>
  <c r="I5" i="11" l="1"/>
  <c r="J5" i="11" l="1"/>
  <c r="K5" i="11" l="1"/>
  <c r="H10" i="11"/>
  <c r="L5" i="11" l="1"/>
  <c r="N5" i="11" l="1"/>
  <c r="M5" i="11"/>
  <c r="O5" i="11" l="1"/>
  <c r="P5" i="11" l="1"/>
  <c r="Q5" i="11" l="1"/>
  <c r="R5" i="11" l="1"/>
  <c r="S5" i="11" l="1"/>
  <c r="T5" i="11" l="1"/>
  <c r="U5" i="11" l="1"/>
  <c r="V5" i="11"/>
  <c r="W5" i="11" l="1"/>
  <c r="X5" i="11" l="1"/>
  <c r="Y5" i="11" l="1"/>
  <c r="AS5" i="11" l="1"/>
  <c r="AT5" i="11" l="1"/>
  <c r="Z5" i="11"/>
  <c r="AA5" i="11"/>
  <c r="AU5" i="11" l="1"/>
  <c r="AB5" i="11"/>
  <c r="AV5" i="11" l="1"/>
  <c r="AC5" i="11"/>
  <c r="AW5" i="11" l="1"/>
  <c r="AD5" i="11"/>
  <c r="AX5" i="11" l="1"/>
  <c r="AE5" i="11"/>
  <c r="AY5" i="11" l="1"/>
  <c r="AF5" i="11"/>
  <c r="AZ5" i="11" l="1"/>
  <c r="AG5" i="11"/>
  <c r="BA5" i="11" l="1"/>
  <c r="AH5" i="11"/>
  <c r="BB5" i="11" l="1"/>
  <c r="AI5" i="11"/>
  <c r="BC5" i="11" l="1"/>
  <c r="AJ5" i="11"/>
  <c r="BD5" i="11" l="1"/>
  <c r="AK5" i="11"/>
  <c r="BE5" i="11" l="1"/>
  <c r="AL5" i="11"/>
  <c r="BF5" i="11" l="1"/>
  <c r="AM5" i="11"/>
  <c r="BG5" i="11" l="1"/>
  <c r="AN5" i="11"/>
  <c r="BH5" i="11" l="1"/>
  <c r="AO5" i="11"/>
  <c r="BI5" i="11" l="1"/>
  <c r="AP5" i="11"/>
  <c r="BJ5" i="11" l="1"/>
  <c r="AQ5" i="11"/>
  <c r="BK5" i="11" l="1"/>
  <c r="AR5" i="11"/>
  <c r="BL5" i="11" l="1"/>
  <c r="BM5" i="11" l="1"/>
  <c r="BN5" i="11" l="1"/>
  <c r="BO5" i="11" l="1"/>
  <c r="BP5" i="11" l="1"/>
  <c r="BQ5" i="11" l="1"/>
  <c r="BR5" i="11" l="1"/>
  <c r="BS5" i="11" l="1"/>
  <c r="BT5" i="11" l="1"/>
  <c r="BU5" i="11" l="1"/>
  <c r="BV5" i="11" l="1"/>
  <c r="BW5" i="11" l="1"/>
  <c r="BX5" i="11" l="1"/>
  <c r="BY5" i="11" l="1"/>
  <c r="BZ5" i="11" l="1"/>
  <c r="CA5" i="11" l="1"/>
  <c r="CB5" i="11" l="1"/>
  <c r="CC5" i="11" l="1"/>
  <c r="CD5" i="11" l="1"/>
  <c r="CE5" i="11" l="1"/>
  <c r="CF5" i="11" l="1"/>
  <c r="CG5" i="11" l="1"/>
</calcChain>
</file>

<file path=xl/sharedStrings.xml><?xml version="1.0" encoding="utf-8"?>
<sst xmlns="http://schemas.openxmlformats.org/spreadsheetml/2006/main" count="42" uniqueCount="41">
  <si>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</si>
  <si>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</si>
  <si>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</si>
  <si>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</si>
  <si>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</si>
  <si>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</si>
  <si>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</si>
  <si>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</si>
  <si>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</si>
  <si>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</si>
  <si>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TAREA</t>
  </si>
  <si>
    <t>Inicio del proyecto:</t>
  </si>
  <si>
    <t>Semana para mostrar:</t>
  </si>
  <si>
    <t>ASIGNADO
A</t>
  </si>
  <si>
    <t>PROGRESO</t>
  </si>
  <si>
    <t>INICIO</t>
  </si>
  <si>
    <t>FIN</t>
  </si>
  <si>
    <t>DÍAS</t>
  </si>
  <si>
    <t>Yourmeds</t>
  </si>
  <si>
    <t>1. Fase 1</t>
  </si>
  <si>
    <t>2. Fase 2</t>
  </si>
  <si>
    <t>3. Fase 3</t>
  </si>
  <si>
    <t xml:space="preserve">    2.1. Preparación del ambiente de desarrollo</t>
  </si>
  <si>
    <t xml:space="preserve">    2.2 Desarrollo Frontend</t>
  </si>
  <si>
    <t xml:space="preserve">    2.3 Desarrollo Backend</t>
  </si>
  <si>
    <t xml:space="preserve">    2.4 Integración Frontend–Backend </t>
  </si>
  <si>
    <t xml:space="preserve">    2.5 Pruebas unitarias y de integración</t>
  </si>
  <si>
    <t xml:space="preserve">    2.6 Pruebas de usabilidad</t>
  </si>
  <si>
    <t xml:space="preserve">    2.7 Despliegue en la nube</t>
  </si>
  <si>
    <t xml:space="preserve">    1.1 Definición del proyecto</t>
  </si>
  <si>
    <t xml:space="preserve">    1.2 Planificación inicial</t>
  </si>
  <si>
    <t xml:space="preserve">    1.3 Diseño técnico</t>
  </si>
  <si>
    <t>3.1 Documentación final</t>
  </si>
  <si>
    <t>3.2 Capacitación y marcha blanca</t>
  </si>
  <si>
    <t>3.3 Soporte inicial</t>
  </si>
  <si>
    <t>3.4 Cierre formal del proyecto</t>
  </si>
  <si>
    <t>3.5 Revisión de cumplimiento de objetivos</t>
  </si>
  <si>
    <t>3.6 Cierre administrativo</t>
  </si>
  <si>
    <t xml:space="preserve">    1.4 Priorización del Product Backlog</t>
  </si>
  <si>
    <t xml:space="preserve">    1.5 Creación de la carta Gantt</t>
  </si>
  <si>
    <t xml:space="preserve">    1.6 Diseño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</si>
</sst>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59999389629810485"/>
        <bgColor indexed="64"/>
      </patternFill>
    </fill>
    <fill>
      <patternFill patternType="solid">
        <fgColor rgb="FFFF8529"/>
        <bgColor indexed="64"/>
      </patternFill>
    </fill>
  </fills>
  <borders count="2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top/>
      <bottom style="medium">
        <color theme="0" tint="-0.14996795556505021"/>
      </bottom>
      <diagonal/>
    </border>
    <border>
      <left/>
      <right/>
      <top style="medium">
        <color theme="0" tint="-0.14996795556505021"/>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right style="thin">
        <color indexed="64"/>
      </right>
      <top style="medium">
        <color theme="0" tint="-0.14996795556505021"/>
      </top>
      <bottom style="medium">
        <color theme="0" tint="-0.14996795556505021"/>
      </bottom>
      <diagonal/>
    </border>
    <border>
      <left style="thin">
        <color theme="0" tint="-0.34998626667073579"/>
      </left>
      <right style="thin">
        <color indexed="64"/>
      </right>
      <top/>
      <bottom style="medium">
        <color theme="0" tint="-0.14996795556505021"/>
      </bottom>
      <diagonal/>
    </border>
    <border>
      <left style="thin">
        <color theme="0" tint="-0.34998626667073579"/>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theme="0" tint="-0.14993743705557422"/>
      </left>
      <right/>
      <top style="medium">
        <color theme="0" tint="-0.14996795556505021"/>
      </top>
      <bottom style="thin">
        <color indexed="64"/>
      </bottom>
      <diagonal/>
    </border>
    <border>
      <left style="thin">
        <color theme="0" tint="-0.14993743705557422"/>
      </left>
      <right/>
      <top/>
      <bottom style="medium">
        <color theme="0" tint="-0.14996795556505021"/>
      </bottom>
      <diagonal/>
    </border>
    <border>
      <left style="thin">
        <color theme="0" tint="-0.34998626667073579"/>
      </left>
      <right/>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4"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6"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7" fillId="0" borderId="0" applyNumberFormat="0" applyFill="0" applyBorder="0" applyAlignment="0" applyProtection="0"/>
    <xf numFmtId="0" fontId="18" fillId="10"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1" fillId="13" borderId="9" applyNumberFormat="0" applyAlignment="0" applyProtection="0"/>
    <xf numFmtId="0" fontId="22" fillId="14" borderId="10" applyNumberFormat="0" applyAlignment="0" applyProtection="0"/>
    <xf numFmtId="0" fontId="23" fillId="14" borderId="9" applyNumberFormat="0" applyAlignment="0" applyProtection="0"/>
    <xf numFmtId="0" fontId="24" fillId="0" borderId="11" applyNumberFormat="0" applyFill="0" applyAlignment="0" applyProtection="0"/>
    <xf numFmtId="0" fontId="25" fillId="15" borderId="12" applyNumberFormat="0" applyAlignment="0" applyProtection="0"/>
    <xf numFmtId="0" fontId="26" fillId="0" borderId="0" applyNumberFormat="0" applyFill="0" applyBorder="0" applyAlignment="0" applyProtection="0"/>
    <xf numFmtId="0" fontId="7" fillId="16" borderId="13" applyNumberFormat="0" applyFont="0" applyAlignment="0" applyProtection="0"/>
    <xf numFmtId="0" fontId="27" fillId="0" borderId="0" applyNumberFormat="0" applyFill="0" applyBorder="0" applyAlignment="0" applyProtection="0"/>
    <xf numFmtId="0" fontId="5" fillId="0" borderId="14" applyNumberFormat="0" applyFill="0" applyAlignment="0" applyProtection="0"/>
    <xf numFmtId="0" fontId="14"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4"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4"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4"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4"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4"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cellStyleXfs>
  <cellXfs count="10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6" fillId="9" borderId="1" xfId="0" applyFont="1" applyFill="1" applyBorder="1" applyAlignment="1">
      <alignment horizontal="left" vertical="center" indent="1"/>
    </xf>
    <xf numFmtId="0" fontId="6" fillId="9" borderId="1" xfId="0" applyFont="1" applyFill="1" applyBorder="1" applyAlignment="1">
      <alignment horizontal="center" vertical="center" wrapText="1"/>
    </xf>
    <xf numFmtId="0" fontId="10" fillId="8" borderId="6"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9" fontId="4" fillId="2"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0" fontId="0" fillId="0" borderId="7" xfId="0" applyBorder="1" applyAlignment="1">
      <alignment vertical="center"/>
    </xf>
    <xf numFmtId="0" fontId="0" fillId="0" borderId="7" xfId="0" applyBorder="1" applyAlignment="1">
      <alignment horizontal="righ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14"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7">
      <alignment vertical="top"/>
    </xf>
    <xf numFmtId="0" fontId="7" fillId="6" borderId="2" xfId="11" applyFill="1">
      <alignment horizontal="center" vertical="center"/>
    </xf>
    <xf numFmtId="0" fontId="7" fillId="3" borderId="2" xfId="11" applyFill="1">
      <alignment horizontal="center" vertical="center"/>
    </xf>
    <xf numFmtId="0" fontId="7" fillId="4" borderId="2" xfId="11" applyFill="1">
      <alignment horizontal="center" vertical="center"/>
    </xf>
    <xf numFmtId="0" fontId="7" fillId="7" borderId="2" xfId="11" applyFill="1">
      <alignment horizontal="center" vertical="center"/>
    </xf>
    <xf numFmtId="0" fontId="7" fillId="3" borderId="2" xfId="12" applyFill="1">
      <alignment horizontal="left" vertical="center" indent="2"/>
    </xf>
    <xf numFmtId="0" fontId="0" fillId="0" borderId="8" xfId="0" applyBorder="1"/>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0" fillId="4" borderId="2" xfId="0" applyNumberFormat="1" applyFill="1" applyBorder="1" applyAlignment="1">
      <alignment horizontal="center" vertical="center"/>
    </xf>
    <xf numFmtId="170" fontId="4" fillId="4" borderId="2" xfId="0" applyNumberFormat="1" applyFont="1" applyFill="1" applyBorder="1" applyAlignment="1">
      <alignment horizontal="center" vertical="center"/>
    </xf>
    <xf numFmtId="170" fontId="7" fillId="7" borderId="2" xfId="10" applyFill="1">
      <alignment horizontal="center" vertical="center"/>
    </xf>
    <xf numFmtId="171" fontId="9" fillId="5" borderId="4" xfId="0" applyNumberFormat="1" applyFont="1" applyFill="1" applyBorder="1" applyAlignment="1">
      <alignment horizontal="center" vertical="center"/>
    </xf>
    <xf numFmtId="170" fontId="7" fillId="2" borderId="2" xfId="10" applyFill="1">
      <alignment horizontal="center" vertical="center"/>
    </xf>
    <xf numFmtId="170" fontId="7" fillId="3" borderId="2" xfId="10" applyFill="1">
      <alignment horizontal="center" vertical="center"/>
    </xf>
    <xf numFmtId="0" fontId="0" fillId="41" borderId="7" xfId="0" applyFill="1" applyBorder="1" applyAlignment="1">
      <alignment vertical="center"/>
    </xf>
    <xf numFmtId="0" fontId="0" fillId="41" borderId="7" xfId="0" applyFill="1" applyBorder="1" applyAlignment="1">
      <alignment horizontal="right" vertical="center"/>
    </xf>
    <xf numFmtId="171" fontId="9" fillId="5" borderId="4" xfId="0" applyNumberFormat="1" applyFont="1" applyFill="1" applyBorder="1" applyAlignment="1">
      <alignment horizontal="center" vertical="center" wrapText="1"/>
    </xf>
    <xf numFmtId="0" fontId="15" fillId="0" borderId="0" xfId="0" applyFont="1"/>
    <xf numFmtId="0" fontId="0" fillId="0" borderId="0" xfId="0" applyAlignment="1">
      <alignment horizontal="center" vertical="center"/>
    </xf>
    <xf numFmtId="0" fontId="4" fillId="2"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7" borderId="2" xfId="0" applyFont="1" applyFill="1" applyBorder="1" applyAlignment="1">
      <alignment horizontal="center" vertical="center"/>
    </xf>
    <xf numFmtId="0" fontId="14" fillId="41" borderId="0" xfId="3" applyFill="1" applyAlignment="1">
      <alignment wrapText="1"/>
    </xf>
    <xf numFmtId="0" fontId="5" fillId="42" borderId="2" xfId="0" applyFont="1" applyFill="1" applyBorder="1" applyAlignment="1">
      <alignment horizontal="left" vertical="center" indent="1"/>
    </xf>
    <xf numFmtId="0" fontId="7" fillId="42" borderId="2" xfId="11" applyFill="1">
      <alignment horizontal="center" vertical="center"/>
    </xf>
    <xf numFmtId="9" fontId="4" fillId="42" borderId="2" xfId="2" applyFont="1" applyFill="1" applyBorder="1" applyAlignment="1">
      <alignment horizontal="center" vertical="center"/>
    </xf>
    <xf numFmtId="170" fontId="0" fillId="42" borderId="2" xfId="0" applyNumberFormat="1" applyFill="1" applyBorder="1" applyAlignment="1">
      <alignment horizontal="center" vertical="center"/>
    </xf>
    <xf numFmtId="170" fontId="4" fillId="42" borderId="2" xfId="0" applyNumberFormat="1" applyFont="1" applyFill="1" applyBorder="1" applyAlignment="1">
      <alignment horizontal="center" vertical="center"/>
    </xf>
    <xf numFmtId="0" fontId="4" fillId="42" borderId="2" xfId="0" applyFont="1" applyFill="1" applyBorder="1" applyAlignment="1">
      <alignment horizontal="center" vertical="center"/>
    </xf>
    <xf numFmtId="0" fontId="7" fillId="7" borderId="2" xfId="12" applyFill="1" applyAlignment="1">
      <alignment horizontal="left" vertical="center" indent="3"/>
    </xf>
    <xf numFmtId="0" fontId="0" fillId="0" borderId="3" xfId="0" applyBorder="1" applyAlignment="1">
      <alignment horizontal="center" vertical="center" wrapText="1"/>
    </xf>
    <xf numFmtId="0" fontId="0" fillId="0" borderId="0" xfId="0" applyAlignment="1">
      <alignment horizontal="center" vertical="center" wrapText="1"/>
    </xf>
    <xf numFmtId="0" fontId="7" fillId="7" borderId="17" xfId="12" applyFill="1" applyBorder="1" applyAlignment="1">
      <alignment horizontal="left" vertical="center" indent="3"/>
    </xf>
    <xf numFmtId="0" fontId="7" fillId="7" borderId="17" xfId="11" applyFill="1" applyBorder="1">
      <alignment horizontal="center" vertical="center"/>
    </xf>
    <xf numFmtId="170" fontId="7" fillId="7" borderId="17" xfId="10" applyFill="1" applyBorder="1">
      <alignment horizontal="center" vertical="center"/>
    </xf>
    <xf numFmtId="0" fontId="4" fillId="7" borderId="17" xfId="0" applyFont="1" applyFill="1" applyBorder="1" applyAlignment="1">
      <alignment horizontal="center" vertical="center"/>
    </xf>
    <xf numFmtId="0" fontId="4" fillId="0" borderId="17" xfId="0" applyFont="1" applyBorder="1" applyAlignment="1">
      <alignment horizontal="center" vertical="center"/>
    </xf>
    <xf numFmtId="0" fontId="0" fillId="0" borderId="18" xfId="0" applyBorder="1" applyAlignment="1">
      <alignment vertical="center"/>
    </xf>
    <xf numFmtId="0" fontId="0" fillId="41" borderId="18" xfId="0" applyFill="1" applyBorder="1" applyAlignment="1">
      <alignment vertical="center"/>
    </xf>
    <xf numFmtId="0" fontId="10" fillId="8" borderId="20" xfId="0" applyFont="1" applyFill="1" applyBorder="1" applyAlignment="1">
      <alignment horizontal="center" vertical="center" shrinkToFit="1"/>
    </xf>
    <xf numFmtId="171" fontId="9" fillId="5" borderId="21" xfId="0" applyNumberFormat="1" applyFont="1" applyFill="1" applyBorder="1" applyAlignment="1">
      <alignment horizontal="center" vertical="center"/>
    </xf>
    <xf numFmtId="0" fontId="0" fillId="0" borderId="15" xfId="0" applyBorder="1" applyAlignment="1">
      <alignment vertical="center"/>
    </xf>
    <xf numFmtId="169" fontId="0" fillId="41" borderId="0" xfId="0" applyNumberFormat="1" applyFill="1" applyAlignment="1">
      <alignment vertical="center" wrapText="1"/>
    </xf>
    <xf numFmtId="171" fontId="9" fillId="41" borderId="0" xfId="0" applyNumberFormat="1" applyFont="1" applyFill="1" applyAlignment="1">
      <alignment horizontal="center" vertical="center"/>
    </xf>
    <xf numFmtId="0" fontId="0" fillId="41" borderId="15" xfId="0" applyFill="1" applyBorder="1" applyAlignment="1">
      <alignment vertical="center"/>
    </xf>
    <xf numFmtId="0" fontId="0" fillId="41" borderId="25" xfId="0" applyFill="1" applyBorder="1" applyAlignment="1">
      <alignment vertical="center"/>
    </xf>
    <xf numFmtId="0" fontId="0" fillId="41" borderId="0" xfId="0" applyFill="1"/>
    <xf numFmtId="0" fontId="0" fillId="41" borderId="0" xfId="0" applyFill="1" applyAlignment="1">
      <alignment vertical="center"/>
    </xf>
    <xf numFmtId="0" fontId="0" fillId="43" borderId="7" xfId="0" applyFill="1" applyBorder="1" applyAlignment="1">
      <alignment vertical="center"/>
    </xf>
    <xf numFmtId="0" fontId="0" fillId="43" borderId="18" xfId="0" applyFill="1" applyBorder="1" applyAlignment="1">
      <alignment vertical="center"/>
    </xf>
    <xf numFmtId="0" fontId="10" fillId="8" borderId="27" xfId="0" applyFont="1" applyFill="1" applyBorder="1" applyAlignment="1">
      <alignment horizontal="center" vertical="center" shrinkToFit="1"/>
    </xf>
    <xf numFmtId="0" fontId="0" fillId="0" borderId="25" xfId="0" applyBorder="1" applyAlignment="1">
      <alignment vertical="center"/>
    </xf>
    <xf numFmtId="169" fontId="0" fillId="41" borderId="24" xfId="0" applyNumberFormat="1" applyFill="1" applyBorder="1" applyAlignment="1">
      <alignment vertical="center" wrapText="1"/>
    </xf>
    <xf numFmtId="171" fontId="9" fillId="41" borderId="24" xfId="0" applyNumberFormat="1" applyFont="1" applyFill="1" applyBorder="1" applyAlignment="1">
      <alignment horizontal="center" vertical="center"/>
    </xf>
    <xf numFmtId="0" fontId="0" fillId="0" borderId="24" xfId="0" applyBorder="1"/>
    <xf numFmtId="0" fontId="0" fillId="41" borderId="24" xfId="0" applyFill="1" applyBorder="1"/>
    <xf numFmtId="169" fontId="0" fillId="5" borderId="22" xfId="0" applyNumberFormat="1" applyFill="1" applyBorder="1" applyAlignment="1">
      <alignment horizontal="center" vertical="center" wrapText="1"/>
    </xf>
    <xf numFmtId="169" fontId="0" fillId="5" borderId="23" xfId="0" applyNumberFormat="1" applyFill="1" applyBorder="1" applyAlignment="1">
      <alignment horizontal="center" vertical="center" wrapText="1"/>
    </xf>
    <xf numFmtId="0" fontId="0" fillId="42" borderId="26" xfId="0" applyFill="1" applyBorder="1" applyAlignment="1">
      <alignment horizontal="center" vertical="center"/>
    </xf>
    <xf numFmtId="0" fontId="0" fillId="42" borderId="16" xfId="0" applyFill="1" applyBorder="1" applyAlignment="1">
      <alignment horizontal="center" vertical="center"/>
    </xf>
    <xf numFmtId="0" fontId="0" fillId="4" borderId="15" xfId="0" applyFill="1" applyBorder="1" applyAlignment="1">
      <alignment horizontal="center" vertical="center"/>
    </xf>
    <xf numFmtId="0" fontId="0" fillId="4" borderId="2" xfId="0" applyFill="1" applyBorder="1" applyAlignment="1">
      <alignment horizontal="center" vertical="center"/>
    </xf>
    <xf numFmtId="0" fontId="0" fillId="6" borderId="15" xfId="0" applyFill="1" applyBorder="1" applyAlignment="1">
      <alignment horizontal="center" vertical="center"/>
    </xf>
    <xf numFmtId="0" fontId="0" fillId="6" borderId="2" xfId="0" applyFill="1" applyBorder="1" applyAlignment="1">
      <alignment horizontal="center" vertical="center"/>
    </xf>
    <xf numFmtId="0" fontId="0" fillId="6" borderId="19" xfId="0" applyFill="1" applyBorder="1" applyAlignment="1">
      <alignment horizontal="center" vertical="center"/>
    </xf>
    <xf numFmtId="0" fontId="7" fillId="0" borderId="0" xfId="8">
      <alignment horizontal="right" indent="1"/>
    </xf>
    <xf numFmtId="0" fontId="7" fillId="0" borderId="5" xfId="8" applyBorder="1">
      <alignment horizontal="right" indent="1"/>
    </xf>
    <xf numFmtId="0" fontId="7" fillId="0" borderId="0" xfId="8" applyAlignment="1">
      <alignment horizontal="right" wrapText="1"/>
    </xf>
    <xf numFmtId="0" fontId="7" fillId="0" borderId="5" xfId="8" applyBorder="1" applyAlignment="1">
      <alignment horizontal="right" wrapText="1"/>
    </xf>
    <xf numFmtId="168" fontId="7" fillId="0" borderId="3" xfId="9">
      <alignment horizontal="center" vertical="center"/>
    </xf>
    <xf numFmtId="0" fontId="7" fillId="2" borderId="2" xfId="12" applyFill="1" applyAlignment="1">
      <alignment horizontal="left"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8">
    <dxf>
      <fill>
        <patternFill>
          <bgColor rgb="FFC00000"/>
        </patternFill>
      </fill>
      <border>
        <left/>
        <right/>
      </border>
    </dxf>
    <dxf>
      <fill>
        <patternFill>
          <bgColor theme="6" tint="-0.24994659260841701"/>
        </patternFill>
      </fill>
    </dxf>
    <dxf>
      <border>
        <left style="thin">
          <color rgb="FFC00000"/>
        </left>
        <right style="thin">
          <color rgb="FFC00000"/>
        </right>
        <vertical/>
        <horizontal/>
      </border>
    </dxf>
    <dxf>
      <fill>
        <patternFill>
          <bgColor rgb="FFC00000"/>
        </patternFill>
      </fill>
      <border>
        <left/>
        <right/>
      </border>
    </dxf>
    <dxf>
      <fill>
        <patternFill>
          <bgColor theme="6" tint="-0.24994659260841701"/>
        </patternFill>
      </fill>
    </dxf>
    <dxf>
      <border>
        <left style="thin">
          <color rgb="FFC00000"/>
        </left>
        <right style="thin">
          <color rgb="FFC00000"/>
        </right>
        <vertical/>
        <horizontal/>
      </border>
    </dxf>
    <dxf>
      <fill>
        <patternFill>
          <bgColor rgb="FFC00000"/>
        </patternFill>
      </fill>
      <border>
        <left/>
        <right/>
      </border>
    </dxf>
    <dxf>
      <fill>
        <patternFill>
          <bgColor theme="6" tint="-0.24994659260841701"/>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8529"/>
      <color rgb="FFFF3333"/>
      <color rgb="FFEDA92F"/>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Q36"/>
  <sheetViews>
    <sheetView showGridLines="0" tabSelected="1" showRuler="0" zoomScale="70" zoomScaleNormal="70" zoomScalePageLayoutView="70" workbookViewId="0">
      <pane ySplit="5" topLeftCell="A13" activePane="bottomLeft" state="frozen"/>
      <selection pane="bottomLeft" activeCell="D28" sqref="D28"/>
    </sheetView>
  </sheetViews>
  <sheetFormatPr baseColWidth="10" defaultColWidth="9.140625" defaultRowHeight="30" customHeight="1" x14ac:dyDescent="0.25"/>
  <cols>
    <col min="1" max="1" width="2.7109375" style="22" customWidth="1"/>
    <col min="2" max="2" width="29.42578125" customWidth="1"/>
    <col min="3" max="3" width="30.7109375" customWidth="1"/>
    <col min="4" max="4" width="10.7109375" customWidth="1"/>
    <col min="5" max="5" width="10.42578125" style="5" customWidth="1"/>
    <col min="6" max="6" width="10.42578125" customWidth="1"/>
    <col min="7" max="7" width="2" customWidth="1"/>
    <col min="8" max="8" width="1.85546875" style="46" hidden="1" customWidth="1"/>
    <col min="9" max="15" width="4.7109375" customWidth="1"/>
    <col min="16" max="16" width="5" style="3" customWidth="1"/>
    <col min="17" max="18" width="5.140625" style="3" customWidth="1"/>
    <col min="19" max="19" width="5.7109375" style="3" customWidth="1"/>
    <col min="20" max="20" width="5.85546875" style="3" customWidth="1"/>
    <col min="21" max="24" width="4.7109375" customWidth="1"/>
    <col min="25" max="25" width="5.7109375" customWidth="1"/>
    <col min="26" max="28" width="4.7109375" customWidth="1"/>
    <col min="29" max="29" width="5.85546875" customWidth="1"/>
    <col min="30" max="30" width="5.7109375" customWidth="1"/>
    <col min="31" max="33" width="4.7109375" customWidth="1"/>
    <col min="34" max="34" width="5.85546875" customWidth="1"/>
    <col min="35" max="35" width="4.85546875" customWidth="1"/>
    <col min="36" max="36" width="4.7109375" customWidth="1"/>
    <col min="37" max="37" width="5.140625" customWidth="1"/>
    <col min="38" max="38" width="5.28515625" customWidth="1"/>
    <col min="39" max="39" width="4.7109375" customWidth="1"/>
    <col min="40" max="40" width="8" customWidth="1"/>
    <col min="41" max="41" width="4.7109375" customWidth="1"/>
    <col min="42" max="42" width="5.140625" customWidth="1"/>
    <col min="43" max="43" width="4.7109375" customWidth="1"/>
    <col min="44" max="44" width="6" customWidth="1"/>
    <col min="45" max="45" width="4.85546875" customWidth="1"/>
    <col min="46" max="46" width="5.28515625" customWidth="1"/>
    <col min="47" max="48" width="5.140625" customWidth="1"/>
    <col min="49" max="60" width="4.7109375" customWidth="1"/>
    <col min="61" max="61" width="6.140625" customWidth="1"/>
    <col min="62" max="62" width="5.42578125" customWidth="1"/>
    <col min="63" max="63" width="4.7109375" customWidth="1"/>
    <col min="64" max="64" width="5.42578125" customWidth="1"/>
    <col min="65" max="65" width="5" customWidth="1"/>
    <col min="66" max="68" width="4.7109375" customWidth="1"/>
    <col min="69" max="69" width="5.140625" customWidth="1"/>
    <col min="70" max="70" width="5" customWidth="1"/>
    <col min="71" max="73" width="4.7109375" customWidth="1"/>
    <col min="74" max="74" width="6.140625" customWidth="1"/>
    <col min="75" max="75" width="5.140625" customWidth="1"/>
    <col min="76" max="79" width="4.7109375" customWidth="1"/>
    <col min="80" max="80" width="5.5703125" customWidth="1"/>
    <col min="81" max="83" width="4.7109375" customWidth="1"/>
    <col min="84" max="84" width="4.85546875" customWidth="1"/>
    <col min="85" max="85" width="5.140625" customWidth="1"/>
    <col min="86" max="86" width="4.85546875" customWidth="1"/>
    <col min="87" max="87" width="6" customWidth="1"/>
    <col min="88" max="88" width="5.5703125" customWidth="1"/>
    <col min="89" max="93" width="4.7109375" customWidth="1"/>
  </cols>
  <sheetData>
    <row r="1" spans="1:121" ht="30" customHeight="1" x14ac:dyDescent="0.45">
      <c r="A1" s="23" t="s">
        <v>0</v>
      </c>
      <c r="B1" s="26" t="s">
        <v>18</v>
      </c>
      <c r="C1" s="1"/>
      <c r="D1" s="2"/>
      <c r="E1" s="4"/>
      <c r="F1" s="21"/>
      <c r="H1" s="21"/>
      <c r="I1" s="45"/>
    </row>
    <row r="2" spans="1:121" ht="30" customHeight="1" x14ac:dyDescent="0.25">
      <c r="A2" s="22" t="s">
        <v>1</v>
      </c>
      <c r="B2" s="27"/>
      <c r="C2" s="95" t="s">
        <v>11</v>
      </c>
      <c r="D2" s="96"/>
      <c r="E2" s="99">
        <f>DATE(2025,8,12)</f>
        <v>45881</v>
      </c>
      <c r="F2" s="99"/>
    </row>
    <row r="3" spans="1:121" s="25" customFormat="1" ht="30" customHeight="1" x14ac:dyDescent="0.25">
      <c r="A3" s="23" t="s">
        <v>2</v>
      </c>
      <c r="C3" s="97" t="s">
        <v>12</v>
      </c>
      <c r="D3" s="98"/>
      <c r="E3" s="60">
        <v>1</v>
      </c>
      <c r="H3" s="61"/>
      <c r="I3" s="86">
        <f>I4</f>
        <v>45880</v>
      </c>
      <c r="J3" s="86"/>
      <c r="K3" s="86"/>
      <c r="L3" s="86"/>
      <c r="M3" s="86"/>
      <c r="N3" s="86">
        <f>N4</f>
        <v>45887</v>
      </c>
      <c r="O3" s="86"/>
      <c r="P3" s="86"/>
      <c r="Q3" s="86"/>
      <c r="R3" s="86"/>
      <c r="S3" s="86">
        <f>S4</f>
        <v>45894</v>
      </c>
      <c r="T3" s="86"/>
      <c r="U3" s="86"/>
      <c r="V3" s="86"/>
      <c r="W3" s="86"/>
      <c r="X3" s="86">
        <f>X4</f>
        <v>45901</v>
      </c>
      <c r="Y3" s="86"/>
      <c r="Z3" s="86"/>
      <c r="AA3" s="86"/>
      <c r="AB3" s="86"/>
      <c r="AC3" s="86">
        <f t="shared" ref="AC3" si="0">AC4</f>
        <v>45908</v>
      </c>
      <c r="AD3" s="86"/>
      <c r="AE3" s="86"/>
      <c r="AF3" s="86"/>
      <c r="AG3" s="86"/>
      <c r="AH3" s="86">
        <f t="shared" ref="AH3" si="1">AH4</f>
        <v>45915</v>
      </c>
      <c r="AI3" s="86"/>
      <c r="AJ3" s="86"/>
      <c r="AK3" s="86"/>
      <c r="AL3" s="86"/>
      <c r="AM3" s="86">
        <f t="shared" ref="AM3" si="2">AM4</f>
        <v>45922</v>
      </c>
      <c r="AN3" s="86"/>
      <c r="AO3" s="86"/>
      <c r="AP3" s="86"/>
      <c r="AQ3" s="86"/>
      <c r="AR3" s="86">
        <f>AR4</f>
        <v>45929</v>
      </c>
      <c r="AS3" s="86"/>
      <c r="AT3" s="86"/>
      <c r="AU3" s="86"/>
      <c r="AV3" s="86"/>
      <c r="AW3" s="86">
        <f t="shared" ref="AW3" si="3">AW4</f>
        <v>45936</v>
      </c>
      <c r="AX3" s="86"/>
      <c r="AY3" s="86"/>
      <c r="AZ3" s="86"/>
      <c r="BA3" s="86"/>
      <c r="BB3" s="86">
        <f t="shared" ref="BB3" si="4">BB4</f>
        <v>45943</v>
      </c>
      <c r="BC3" s="86"/>
      <c r="BD3" s="86"/>
      <c r="BE3" s="86"/>
      <c r="BF3" s="86"/>
      <c r="BG3" s="86">
        <f t="shared" ref="BG3" si="5">BG4</f>
        <v>45950</v>
      </c>
      <c r="BH3" s="86"/>
      <c r="BI3" s="86"/>
      <c r="BJ3" s="86"/>
      <c r="BK3" s="86"/>
      <c r="BL3" s="86">
        <f t="shared" ref="BL3" si="6">BL4</f>
        <v>45957</v>
      </c>
      <c r="BM3" s="86"/>
      <c r="BN3" s="86"/>
      <c r="BO3" s="86"/>
      <c r="BP3" s="86"/>
      <c r="BQ3" s="86">
        <f t="shared" ref="BQ3" si="7">BQ4</f>
        <v>45964</v>
      </c>
      <c r="BR3" s="86"/>
      <c r="BS3" s="86"/>
      <c r="BT3" s="86"/>
      <c r="BU3" s="86"/>
      <c r="BV3" s="86">
        <f t="shared" ref="BV3" si="8">BV4</f>
        <v>45971</v>
      </c>
      <c r="BW3" s="86"/>
      <c r="BX3" s="86"/>
      <c r="BY3" s="86"/>
      <c r="BZ3" s="86"/>
      <c r="CA3" s="86">
        <f t="shared" ref="CA3" si="9">CA4</f>
        <v>45978</v>
      </c>
      <c r="CB3" s="86"/>
      <c r="CC3" s="86"/>
      <c r="CD3" s="86"/>
      <c r="CE3" s="86"/>
      <c r="CF3" s="86">
        <f t="shared" ref="CF3" si="10">CF4</f>
        <v>45985</v>
      </c>
      <c r="CG3" s="86"/>
      <c r="CH3" s="86"/>
      <c r="CI3" s="86"/>
      <c r="CJ3" s="86"/>
      <c r="CK3" s="86">
        <f t="shared" ref="CK3" si="11">CK4</f>
        <v>45992</v>
      </c>
      <c r="CL3" s="86"/>
      <c r="CM3" s="86"/>
      <c r="CN3" s="86"/>
      <c r="CO3" s="87"/>
      <c r="CP3" s="82"/>
      <c r="CQ3" s="72"/>
      <c r="CR3" s="72"/>
      <c r="CS3" s="72"/>
      <c r="CT3" s="72"/>
      <c r="CU3" s="72"/>
      <c r="CV3" s="72"/>
    </row>
    <row r="4" spans="1:121" ht="15" customHeight="1" x14ac:dyDescent="0.25">
      <c r="A4" s="23" t="s">
        <v>3</v>
      </c>
      <c r="B4" s="33"/>
      <c r="C4" s="33"/>
      <c r="D4" s="33"/>
      <c r="E4" s="33"/>
      <c r="F4" s="33"/>
      <c r="G4" s="33"/>
      <c r="I4" s="44">
        <f t="shared" ref="I4:AN4" si="12">WORKDAY(Inicio_del_proyecto-1, (Semana_para_mostrar-1)*5 + COLUMN(A1)-1)</f>
        <v>45880</v>
      </c>
      <c r="J4" s="44">
        <f t="shared" si="12"/>
        <v>45881</v>
      </c>
      <c r="K4" s="44">
        <f>WORKDAY(Inicio_del_proyecto-1, (Semana_para_mostrar-1)*5 + COLUMN(C1)-1)</f>
        <v>45882</v>
      </c>
      <c r="L4" s="44">
        <f t="shared" si="12"/>
        <v>45883</v>
      </c>
      <c r="M4" s="44">
        <f t="shared" si="12"/>
        <v>45884</v>
      </c>
      <c r="N4" s="44">
        <f t="shared" si="12"/>
        <v>45887</v>
      </c>
      <c r="O4" s="44">
        <f t="shared" si="12"/>
        <v>45888</v>
      </c>
      <c r="P4" s="39">
        <f t="shared" si="12"/>
        <v>45889</v>
      </c>
      <c r="Q4" s="39">
        <f t="shared" si="12"/>
        <v>45890</v>
      </c>
      <c r="R4" s="39">
        <f t="shared" si="12"/>
        <v>45891</v>
      </c>
      <c r="S4" s="39">
        <f t="shared" si="12"/>
        <v>45894</v>
      </c>
      <c r="T4" s="39">
        <f t="shared" si="12"/>
        <v>45895</v>
      </c>
      <c r="U4" s="39">
        <f t="shared" si="12"/>
        <v>45896</v>
      </c>
      <c r="V4" s="39">
        <f t="shared" si="12"/>
        <v>45897</v>
      </c>
      <c r="W4" s="39">
        <f t="shared" si="12"/>
        <v>45898</v>
      </c>
      <c r="X4" s="39">
        <f t="shared" si="12"/>
        <v>45901</v>
      </c>
      <c r="Y4" s="39">
        <f t="shared" si="12"/>
        <v>45902</v>
      </c>
      <c r="Z4" s="39">
        <f t="shared" si="12"/>
        <v>45903</v>
      </c>
      <c r="AA4" s="39">
        <f t="shared" si="12"/>
        <v>45904</v>
      </c>
      <c r="AB4" s="39">
        <f t="shared" si="12"/>
        <v>45905</v>
      </c>
      <c r="AC4" s="39">
        <f t="shared" si="12"/>
        <v>45908</v>
      </c>
      <c r="AD4" s="39">
        <f t="shared" si="12"/>
        <v>45909</v>
      </c>
      <c r="AE4" s="39">
        <f t="shared" si="12"/>
        <v>45910</v>
      </c>
      <c r="AF4" s="39">
        <f t="shared" si="12"/>
        <v>45911</v>
      </c>
      <c r="AG4" s="39">
        <f t="shared" si="12"/>
        <v>45912</v>
      </c>
      <c r="AH4" s="39">
        <f t="shared" si="12"/>
        <v>45915</v>
      </c>
      <c r="AI4" s="39">
        <f t="shared" si="12"/>
        <v>45916</v>
      </c>
      <c r="AJ4" s="39">
        <f t="shared" si="12"/>
        <v>45917</v>
      </c>
      <c r="AK4" s="39">
        <f t="shared" si="12"/>
        <v>45918</v>
      </c>
      <c r="AL4" s="39">
        <f t="shared" si="12"/>
        <v>45919</v>
      </c>
      <c r="AM4" s="39">
        <f t="shared" si="12"/>
        <v>45922</v>
      </c>
      <c r="AN4" s="39">
        <f t="shared" si="12"/>
        <v>45923</v>
      </c>
      <c r="AO4" s="39">
        <f t="shared" ref="AO4:BT4" si="13">WORKDAY(Inicio_del_proyecto-1, (Semana_para_mostrar-1)*5 + COLUMN(AG1)-1)</f>
        <v>45924</v>
      </c>
      <c r="AP4" s="39">
        <f t="shared" si="13"/>
        <v>45925</v>
      </c>
      <c r="AQ4" s="39">
        <f t="shared" si="13"/>
        <v>45926</v>
      </c>
      <c r="AR4" s="39">
        <f t="shared" si="13"/>
        <v>45929</v>
      </c>
      <c r="AS4" s="39">
        <f t="shared" si="13"/>
        <v>45930</v>
      </c>
      <c r="AT4" s="39">
        <f t="shared" si="13"/>
        <v>45931</v>
      </c>
      <c r="AU4" s="39">
        <f t="shared" si="13"/>
        <v>45932</v>
      </c>
      <c r="AV4" s="39">
        <f t="shared" si="13"/>
        <v>45933</v>
      </c>
      <c r="AW4" s="39">
        <f t="shared" si="13"/>
        <v>45936</v>
      </c>
      <c r="AX4" s="39">
        <f t="shared" si="13"/>
        <v>45937</v>
      </c>
      <c r="AY4" s="39">
        <f t="shared" si="13"/>
        <v>45938</v>
      </c>
      <c r="AZ4" s="39">
        <f t="shared" si="13"/>
        <v>45939</v>
      </c>
      <c r="BA4" s="39">
        <f t="shared" si="13"/>
        <v>45940</v>
      </c>
      <c r="BB4" s="39">
        <f t="shared" si="13"/>
        <v>45943</v>
      </c>
      <c r="BC4" s="39">
        <f t="shared" si="13"/>
        <v>45944</v>
      </c>
      <c r="BD4" s="39">
        <f t="shared" si="13"/>
        <v>45945</v>
      </c>
      <c r="BE4" s="39">
        <f t="shared" si="13"/>
        <v>45946</v>
      </c>
      <c r="BF4" s="39">
        <f t="shared" si="13"/>
        <v>45947</v>
      </c>
      <c r="BG4" s="39">
        <f t="shared" si="13"/>
        <v>45950</v>
      </c>
      <c r="BH4" s="39">
        <f t="shared" si="13"/>
        <v>45951</v>
      </c>
      <c r="BI4" s="39">
        <f t="shared" si="13"/>
        <v>45952</v>
      </c>
      <c r="BJ4" s="39">
        <f t="shared" si="13"/>
        <v>45953</v>
      </c>
      <c r="BK4" s="39">
        <f t="shared" si="13"/>
        <v>45954</v>
      </c>
      <c r="BL4" s="39">
        <f t="shared" si="13"/>
        <v>45957</v>
      </c>
      <c r="BM4" s="39">
        <f t="shared" si="13"/>
        <v>45958</v>
      </c>
      <c r="BN4" s="39">
        <f t="shared" si="13"/>
        <v>45959</v>
      </c>
      <c r="BO4" s="39">
        <f t="shared" si="13"/>
        <v>45960</v>
      </c>
      <c r="BP4" s="39">
        <f t="shared" si="13"/>
        <v>45961</v>
      </c>
      <c r="BQ4" s="39">
        <f t="shared" si="13"/>
        <v>45964</v>
      </c>
      <c r="BR4" s="39">
        <f t="shared" si="13"/>
        <v>45965</v>
      </c>
      <c r="BS4" s="39">
        <f t="shared" si="13"/>
        <v>45966</v>
      </c>
      <c r="BT4" s="39">
        <f t="shared" si="13"/>
        <v>45967</v>
      </c>
      <c r="BU4" s="39">
        <f t="shared" ref="BU4:CH4" si="14">WORKDAY(Inicio_del_proyecto-1, (Semana_para_mostrar-1)*5 + COLUMN(BM1)-1)</f>
        <v>45968</v>
      </c>
      <c r="BV4" s="39">
        <f t="shared" si="14"/>
        <v>45971</v>
      </c>
      <c r="BW4" s="39">
        <f t="shared" si="14"/>
        <v>45972</v>
      </c>
      <c r="BX4" s="39">
        <f t="shared" si="14"/>
        <v>45973</v>
      </c>
      <c r="BY4" s="39">
        <f t="shared" si="14"/>
        <v>45974</v>
      </c>
      <c r="BZ4" s="39">
        <f t="shared" si="14"/>
        <v>45975</v>
      </c>
      <c r="CA4" s="39">
        <f t="shared" si="14"/>
        <v>45978</v>
      </c>
      <c r="CB4" s="39">
        <f t="shared" si="14"/>
        <v>45979</v>
      </c>
      <c r="CC4" s="39">
        <f t="shared" si="14"/>
        <v>45980</v>
      </c>
      <c r="CD4" s="39">
        <f t="shared" si="14"/>
        <v>45981</v>
      </c>
      <c r="CE4" s="39">
        <f t="shared" si="14"/>
        <v>45982</v>
      </c>
      <c r="CF4" s="39">
        <f t="shared" si="14"/>
        <v>45985</v>
      </c>
      <c r="CG4" s="70">
        <f t="shared" si="14"/>
        <v>45986</v>
      </c>
      <c r="CH4" s="70">
        <f t="shared" si="14"/>
        <v>45987</v>
      </c>
      <c r="CI4" s="70">
        <f t="shared" ref="CI4" si="15">WORKDAY(Inicio_del_proyecto-1, (Semana_para_mostrar-1)*5 + COLUMN(CA1)-1)</f>
        <v>45988</v>
      </c>
      <c r="CJ4" s="70">
        <f t="shared" ref="CJ4" si="16">WORKDAY(Inicio_del_proyecto-1, (Semana_para_mostrar-1)*5 + COLUMN(CB1)-1)</f>
        <v>45989</v>
      </c>
      <c r="CK4" s="39">
        <f t="shared" ref="CK4" si="17">WORKDAY(Inicio_del_proyecto-1, (Semana_para_mostrar-1)*5 + COLUMN(CC1)-1)</f>
        <v>45992</v>
      </c>
      <c r="CL4" s="39">
        <f t="shared" ref="CL4" si="18">WORKDAY(Inicio_del_proyecto-1, (Semana_para_mostrar-1)*5 + COLUMN(CD1)-1)</f>
        <v>45993</v>
      </c>
      <c r="CM4" s="39">
        <f t="shared" ref="CM4" si="19">WORKDAY(Inicio_del_proyecto-1, (Semana_para_mostrar-1)*5 + COLUMN(CE1)-1)</f>
        <v>45994</v>
      </c>
      <c r="CN4" s="39">
        <f t="shared" ref="CN4" si="20">WORKDAY(Inicio_del_proyecto-1, (Semana_para_mostrar-1)*5 + COLUMN(CF1)-1)</f>
        <v>45995</v>
      </c>
      <c r="CO4" s="39">
        <f t="shared" ref="CO4" si="21">WORKDAY(Inicio_del_proyecto-1, (Semana_para_mostrar-1)*5 + COLUMN(CG1)-1)</f>
        <v>45996</v>
      </c>
      <c r="CP4" s="83"/>
      <c r="CQ4" s="73"/>
      <c r="CR4" s="73"/>
      <c r="CS4" s="73"/>
      <c r="CT4" s="73"/>
      <c r="CU4" s="73"/>
      <c r="CV4" s="73"/>
    </row>
    <row r="5" spans="1:121" ht="30" customHeight="1" thickBot="1" x14ac:dyDescent="0.3">
      <c r="A5" s="23" t="s">
        <v>4</v>
      </c>
      <c r="B5" s="7" t="s">
        <v>10</v>
      </c>
      <c r="C5" s="8" t="s">
        <v>13</v>
      </c>
      <c r="D5" s="8" t="s">
        <v>14</v>
      </c>
      <c r="E5" s="8" t="s">
        <v>15</v>
      </c>
      <c r="F5" s="8" t="s">
        <v>16</v>
      </c>
      <c r="G5" s="8"/>
      <c r="H5" s="8" t="s">
        <v>17</v>
      </c>
      <c r="I5" s="9" t="str">
        <f t="shared" ref="I5" si="22">LEFT(TEXT(I4,"ddd"),1)</f>
        <v>l</v>
      </c>
      <c r="J5" s="9" t="str">
        <f t="shared" ref="J5:AR5" si="23">LEFT(TEXT(J4,"ddd"),1)</f>
        <v>m</v>
      </c>
      <c r="K5" s="9" t="str">
        <f t="shared" si="23"/>
        <v>m</v>
      </c>
      <c r="L5" s="9" t="str">
        <f t="shared" si="23"/>
        <v>j</v>
      </c>
      <c r="M5" s="9" t="str">
        <f t="shared" si="23"/>
        <v>v</v>
      </c>
      <c r="N5" s="9" t="str">
        <f t="shared" si="23"/>
        <v>l</v>
      </c>
      <c r="O5" s="9" t="str">
        <f t="shared" si="23"/>
        <v>m</v>
      </c>
      <c r="P5" s="9" t="str">
        <f>LEFT(TEXT(P4,"ddd"),1)</f>
        <v>m</v>
      </c>
      <c r="Q5" s="9" t="str">
        <f>LEFT(TEXT(Q4,"ddd"),1)</f>
        <v>j</v>
      </c>
      <c r="R5" s="9" t="str">
        <f>LEFT(TEXT(R4,"ddd"),1)</f>
        <v>v</v>
      </c>
      <c r="S5" s="9" t="str">
        <f>LEFT(TEXT(S4,"ddd"),1)</f>
        <v>l</v>
      </c>
      <c r="T5" s="9" t="str">
        <f>LEFT(TEXT(T4,"ddd"),1)</f>
        <v>m</v>
      </c>
      <c r="U5" s="9" t="str">
        <f t="shared" si="23"/>
        <v>m</v>
      </c>
      <c r="V5" s="9" t="str">
        <f t="shared" si="23"/>
        <v>j</v>
      </c>
      <c r="W5" s="9" t="str">
        <f t="shared" si="23"/>
        <v>v</v>
      </c>
      <c r="X5" s="9" t="str">
        <f t="shared" si="23"/>
        <v>l</v>
      </c>
      <c r="Y5" s="9" t="str">
        <f t="shared" si="23"/>
        <v>m</v>
      </c>
      <c r="Z5" s="9" t="str">
        <f t="shared" si="23"/>
        <v>m</v>
      </c>
      <c r="AA5" s="9" t="str">
        <f t="shared" si="23"/>
        <v>j</v>
      </c>
      <c r="AB5" s="9" t="str">
        <f t="shared" si="23"/>
        <v>v</v>
      </c>
      <c r="AC5" s="9" t="str">
        <f t="shared" si="23"/>
        <v>l</v>
      </c>
      <c r="AD5" s="9" t="str">
        <f t="shared" si="23"/>
        <v>m</v>
      </c>
      <c r="AE5" s="9" t="str">
        <f t="shared" si="23"/>
        <v>m</v>
      </c>
      <c r="AF5" s="9" t="str">
        <f t="shared" si="23"/>
        <v>j</v>
      </c>
      <c r="AG5" s="9" t="str">
        <f t="shared" si="23"/>
        <v>v</v>
      </c>
      <c r="AH5" s="9" t="str">
        <f t="shared" si="23"/>
        <v>l</v>
      </c>
      <c r="AI5" s="9" t="str">
        <f t="shared" si="23"/>
        <v>m</v>
      </c>
      <c r="AJ5" s="9" t="str">
        <f t="shared" si="23"/>
        <v>m</v>
      </c>
      <c r="AK5" s="9" t="str">
        <f t="shared" si="23"/>
        <v>j</v>
      </c>
      <c r="AL5" s="9" t="str">
        <f t="shared" si="23"/>
        <v>v</v>
      </c>
      <c r="AM5" s="9" t="str">
        <f t="shared" si="23"/>
        <v>l</v>
      </c>
      <c r="AN5" s="9" t="str">
        <f t="shared" si="23"/>
        <v>m</v>
      </c>
      <c r="AO5" s="9" t="str">
        <f t="shared" si="23"/>
        <v>m</v>
      </c>
      <c r="AP5" s="9" t="str">
        <f t="shared" si="23"/>
        <v>j</v>
      </c>
      <c r="AQ5" s="9" t="str">
        <f t="shared" si="23"/>
        <v>v</v>
      </c>
      <c r="AR5" s="9" t="str">
        <f t="shared" si="23"/>
        <v>l</v>
      </c>
      <c r="AS5" s="9" t="str">
        <f t="shared" ref="AS5:CO5" si="24">LEFT(TEXT(AS4,"ddd"),1)</f>
        <v>m</v>
      </c>
      <c r="AT5" s="9" t="str">
        <f t="shared" si="24"/>
        <v>m</v>
      </c>
      <c r="AU5" s="9" t="str">
        <f t="shared" si="24"/>
        <v>j</v>
      </c>
      <c r="AV5" s="9" t="str">
        <f t="shared" si="24"/>
        <v>v</v>
      </c>
      <c r="AW5" s="9" t="str">
        <f t="shared" si="24"/>
        <v>l</v>
      </c>
      <c r="AX5" s="9" t="str">
        <f t="shared" si="24"/>
        <v>m</v>
      </c>
      <c r="AY5" s="9" t="str">
        <f t="shared" si="24"/>
        <v>m</v>
      </c>
      <c r="AZ5" s="9" t="str">
        <f t="shared" si="24"/>
        <v>j</v>
      </c>
      <c r="BA5" s="9" t="str">
        <f t="shared" si="24"/>
        <v>v</v>
      </c>
      <c r="BB5" s="9" t="str">
        <f t="shared" si="24"/>
        <v>l</v>
      </c>
      <c r="BC5" s="9" t="str">
        <f t="shared" si="24"/>
        <v>m</v>
      </c>
      <c r="BD5" s="9" t="str">
        <f t="shared" si="24"/>
        <v>m</v>
      </c>
      <c r="BE5" s="9" t="str">
        <f t="shared" si="24"/>
        <v>j</v>
      </c>
      <c r="BF5" s="9" t="str">
        <f t="shared" si="24"/>
        <v>v</v>
      </c>
      <c r="BG5" s="9" t="str">
        <f t="shared" si="24"/>
        <v>l</v>
      </c>
      <c r="BH5" s="9" t="str">
        <f t="shared" si="24"/>
        <v>m</v>
      </c>
      <c r="BI5" s="9" t="str">
        <f t="shared" si="24"/>
        <v>m</v>
      </c>
      <c r="BJ5" s="9" t="str">
        <f t="shared" si="24"/>
        <v>j</v>
      </c>
      <c r="BK5" s="9" t="str">
        <f t="shared" si="24"/>
        <v>v</v>
      </c>
      <c r="BL5" s="9" t="str">
        <f t="shared" si="24"/>
        <v>l</v>
      </c>
      <c r="BM5" s="9" t="str">
        <f t="shared" si="24"/>
        <v>m</v>
      </c>
      <c r="BN5" s="9" t="str">
        <f t="shared" si="24"/>
        <v>m</v>
      </c>
      <c r="BO5" s="9" t="str">
        <f t="shared" si="24"/>
        <v>j</v>
      </c>
      <c r="BP5" s="9" t="str">
        <f t="shared" si="24"/>
        <v>v</v>
      </c>
      <c r="BQ5" s="9" t="str">
        <f t="shared" si="24"/>
        <v>l</v>
      </c>
      <c r="BR5" s="9" t="str">
        <f t="shared" si="24"/>
        <v>m</v>
      </c>
      <c r="BS5" s="9" t="str">
        <f t="shared" si="24"/>
        <v>m</v>
      </c>
      <c r="BT5" s="9" t="str">
        <f t="shared" si="24"/>
        <v>j</v>
      </c>
      <c r="BU5" s="9" t="str">
        <f t="shared" si="24"/>
        <v>v</v>
      </c>
      <c r="BV5" s="9" t="str">
        <f t="shared" si="24"/>
        <v>l</v>
      </c>
      <c r="BW5" s="9" t="str">
        <f t="shared" si="24"/>
        <v>m</v>
      </c>
      <c r="BX5" s="9" t="str">
        <f t="shared" si="24"/>
        <v>m</v>
      </c>
      <c r="BY5" s="9" t="str">
        <f t="shared" si="24"/>
        <v>j</v>
      </c>
      <c r="BZ5" s="9" t="str">
        <f t="shared" si="24"/>
        <v>v</v>
      </c>
      <c r="CA5" s="9" t="str">
        <f t="shared" si="24"/>
        <v>l</v>
      </c>
      <c r="CB5" s="9" t="str">
        <f t="shared" si="24"/>
        <v>m</v>
      </c>
      <c r="CC5" s="9" t="str">
        <f t="shared" si="24"/>
        <v>m</v>
      </c>
      <c r="CD5" s="9" t="str">
        <f t="shared" si="24"/>
        <v>j</v>
      </c>
      <c r="CE5" s="9" t="str">
        <f t="shared" si="24"/>
        <v>v</v>
      </c>
      <c r="CF5" s="9" t="str">
        <f t="shared" si="24"/>
        <v>l</v>
      </c>
      <c r="CG5" s="69" t="str">
        <f t="shared" si="24"/>
        <v>m</v>
      </c>
      <c r="CH5" s="69" t="str">
        <f t="shared" si="24"/>
        <v>m</v>
      </c>
      <c r="CI5" s="69" t="str">
        <f t="shared" si="24"/>
        <v>j</v>
      </c>
      <c r="CJ5" s="69" t="str">
        <f t="shared" si="24"/>
        <v>v</v>
      </c>
      <c r="CK5" s="69" t="str">
        <f t="shared" si="24"/>
        <v>l</v>
      </c>
      <c r="CL5" s="69" t="str">
        <f t="shared" si="24"/>
        <v>m</v>
      </c>
      <c r="CM5" s="69" t="str">
        <f t="shared" si="24"/>
        <v>m</v>
      </c>
      <c r="CN5" s="69" t="str">
        <f t="shared" si="24"/>
        <v>j</v>
      </c>
      <c r="CO5" s="80" t="str">
        <f t="shared" si="24"/>
        <v>v</v>
      </c>
      <c r="CP5" s="84"/>
    </row>
    <row r="6" spans="1:121" ht="30" hidden="1" customHeight="1" thickBot="1" x14ac:dyDescent="0.3">
      <c r="A6" s="22" t="s">
        <v>5</v>
      </c>
      <c r="C6" s="25"/>
      <c r="E6"/>
      <c r="H6" s="46" t="str">
        <f>IF(OR(ISBLANK(task_start),ISBLANK(task_end)),"",task_end-task_start+1)</f>
        <v/>
      </c>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P6" s="84"/>
    </row>
    <row r="7" spans="1:121" s="77" customFormat="1" ht="30" customHeight="1" thickBot="1" x14ac:dyDescent="0.3">
      <c r="A7" s="52"/>
      <c r="B7" s="53" t="s">
        <v>19</v>
      </c>
      <c r="C7" s="54"/>
      <c r="D7" s="55"/>
      <c r="E7" s="56"/>
      <c r="F7" s="57"/>
      <c r="G7" s="58"/>
      <c r="H7" s="58" t="str">
        <f t="shared" ref="H7:H28" si="25">IF(OR(ISBLANK(task_start),ISBLANK(task_end)),"",task_end-task_start+1)</f>
        <v/>
      </c>
      <c r="I7" s="88"/>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5"/>
      <c r="CQ7" s="76"/>
      <c r="CR7" s="76"/>
      <c r="CS7" s="76"/>
      <c r="CT7" s="76"/>
      <c r="CU7" s="76"/>
      <c r="CV7" s="76"/>
      <c r="CW7" s="76"/>
      <c r="CX7" s="76"/>
      <c r="CY7" s="76"/>
      <c r="CZ7" s="76"/>
      <c r="DA7" s="76"/>
      <c r="DB7" s="76"/>
      <c r="DC7" s="76"/>
      <c r="DD7" s="76"/>
      <c r="DE7" s="76"/>
      <c r="DF7" s="76"/>
      <c r="DG7" s="76"/>
      <c r="DH7" s="76"/>
      <c r="DI7" s="76"/>
      <c r="DJ7" s="76"/>
      <c r="DK7" s="76"/>
      <c r="DL7" s="76"/>
      <c r="DM7" s="76"/>
      <c r="DN7" s="76"/>
      <c r="DO7" s="76"/>
      <c r="DP7" s="76"/>
      <c r="DQ7" s="76"/>
    </row>
    <row r="8" spans="1:121" s="3" customFormat="1" ht="30" customHeight="1" thickBot="1" x14ac:dyDescent="0.3">
      <c r="A8" s="23" t="s">
        <v>6</v>
      </c>
      <c r="B8" s="100" t="s">
        <v>29</v>
      </c>
      <c r="C8" s="100"/>
      <c r="D8" s="13">
        <v>1</v>
      </c>
      <c r="E8" s="40">
        <v>45884</v>
      </c>
      <c r="F8" s="40">
        <v>45891</v>
      </c>
      <c r="G8" s="47"/>
      <c r="H8" s="12">
        <f>IF(OR(ISBLANK(task_start),ISBLANK(task_end)),"",task_end-task_start+1)</f>
        <v>8</v>
      </c>
      <c r="I8" s="19"/>
      <c r="J8" s="19"/>
      <c r="K8" s="19"/>
      <c r="L8" s="19"/>
      <c r="M8" s="19"/>
      <c r="N8" s="19"/>
      <c r="O8" s="19"/>
      <c r="P8" s="19"/>
      <c r="Q8" s="19"/>
      <c r="R8" s="19"/>
      <c r="S8" s="19"/>
      <c r="T8" s="19"/>
      <c r="U8" s="20"/>
      <c r="V8" s="20"/>
      <c r="W8" s="19"/>
      <c r="X8" s="19"/>
      <c r="Y8" s="19"/>
      <c r="Z8" s="19"/>
      <c r="AA8" s="19"/>
      <c r="AB8" s="19"/>
      <c r="AC8" s="19"/>
      <c r="AD8" s="19"/>
      <c r="AE8" s="19"/>
      <c r="AF8" s="19"/>
      <c r="AG8" s="19"/>
      <c r="AH8" s="19"/>
      <c r="AI8" s="19"/>
      <c r="AJ8" s="19"/>
      <c r="AK8" s="78"/>
      <c r="AL8" s="78"/>
      <c r="AM8" s="19"/>
      <c r="AN8" s="19"/>
      <c r="AO8" s="19"/>
      <c r="AP8" s="19"/>
      <c r="AQ8" s="19"/>
      <c r="AR8" s="19"/>
      <c r="AS8" s="19"/>
      <c r="AT8" s="19"/>
      <c r="AU8" s="19"/>
      <c r="AV8" s="19"/>
      <c r="AW8" s="19"/>
      <c r="AX8" s="19"/>
      <c r="AY8" s="19"/>
      <c r="AZ8" s="19"/>
      <c r="BA8" s="19"/>
      <c r="BB8" s="19"/>
      <c r="BC8" s="19"/>
      <c r="BD8" s="19"/>
      <c r="BE8" s="19"/>
      <c r="BF8" s="19"/>
      <c r="BG8" s="19"/>
      <c r="BH8" s="42"/>
      <c r="BI8" s="19"/>
      <c r="BJ8" s="19"/>
      <c r="BK8" s="19"/>
      <c r="BL8" s="19"/>
      <c r="BM8" s="19"/>
      <c r="BN8" s="19"/>
      <c r="BO8" s="19"/>
      <c r="BP8" s="78"/>
      <c r="BQ8" s="42"/>
      <c r="BR8" s="42"/>
      <c r="BS8" s="42"/>
      <c r="BT8" s="42"/>
      <c r="BU8" s="42"/>
      <c r="BV8" s="42"/>
      <c r="BW8" s="42"/>
      <c r="BX8" s="42"/>
      <c r="BY8" s="43"/>
      <c r="BZ8" s="43"/>
      <c r="CA8" s="42"/>
      <c r="CB8" s="42"/>
      <c r="CC8" s="42"/>
      <c r="CD8" s="42"/>
      <c r="CE8" s="42"/>
      <c r="CF8" s="42"/>
      <c r="CG8" s="74"/>
      <c r="CH8" s="42"/>
      <c r="CI8" s="74"/>
      <c r="CJ8" s="74"/>
      <c r="CK8" s="74"/>
      <c r="CL8" s="74"/>
      <c r="CM8" s="74"/>
      <c r="CN8" s="74"/>
      <c r="CO8" s="74"/>
      <c r="CP8" s="84"/>
      <c r="CQ8"/>
      <c r="CR8"/>
      <c r="CS8"/>
      <c r="CT8"/>
      <c r="CU8"/>
      <c r="CV8"/>
      <c r="CW8"/>
      <c r="CX8"/>
      <c r="CY8"/>
      <c r="CZ8"/>
      <c r="DA8"/>
      <c r="DB8"/>
      <c r="DC8"/>
      <c r="DD8"/>
      <c r="DE8"/>
      <c r="DF8"/>
      <c r="DG8"/>
      <c r="DH8"/>
      <c r="DI8"/>
      <c r="DJ8"/>
      <c r="DK8"/>
      <c r="DL8"/>
      <c r="DM8"/>
      <c r="DN8"/>
      <c r="DO8"/>
      <c r="DP8"/>
      <c r="DQ8"/>
    </row>
    <row r="9" spans="1:121" s="3" customFormat="1" ht="30" customHeight="1" thickBot="1" x14ac:dyDescent="0.3">
      <c r="A9" s="23"/>
      <c r="B9" s="100" t="s">
        <v>30</v>
      </c>
      <c r="C9" s="100"/>
      <c r="D9" s="13">
        <v>1</v>
      </c>
      <c r="E9" s="40">
        <v>45894</v>
      </c>
      <c r="F9" s="40">
        <v>45901</v>
      </c>
      <c r="G9" s="47"/>
      <c r="H9" s="12"/>
      <c r="I9" s="19"/>
      <c r="J9" s="19"/>
      <c r="K9" s="19"/>
      <c r="L9" s="19"/>
      <c r="M9" s="19"/>
      <c r="N9" s="19"/>
      <c r="O9" s="19"/>
      <c r="P9" s="19"/>
      <c r="Q9" s="19"/>
      <c r="R9" s="19"/>
      <c r="S9" s="19"/>
      <c r="T9" s="19"/>
      <c r="U9" s="20"/>
      <c r="V9" s="20"/>
      <c r="W9" s="19"/>
      <c r="X9" s="19"/>
      <c r="Y9" s="19"/>
      <c r="Z9" s="19"/>
      <c r="AA9" s="19"/>
      <c r="AB9" s="19"/>
      <c r="AC9" s="19"/>
      <c r="AD9" s="19"/>
      <c r="AE9" s="19"/>
      <c r="AF9" s="19"/>
      <c r="AG9" s="19"/>
      <c r="AH9" s="19"/>
      <c r="AI9" s="19"/>
      <c r="AJ9" s="19"/>
      <c r="AK9" s="78"/>
      <c r="AL9" s="78"/>
      <c r="AM9" s="19"/>
      <c r="AN9" s="19"/>
      <c r="AO9" s="19"/>
      <c r="AP9" s="19"/>
      <c r="AQ9" s="19"/>
      <c r="AR9" s="19"/>
      <c r="AS9" s="19"/>
      <c r="AT9" s="19"/>
      <c r="AU9" s="19"/>
      <c r="AV9" s="19"/>
      <c r="AW9" s="19"/>
      <c r="AX9" s="19"/>
      <c r="AY9" s="19"/>
      <c r="AZ9" s="19"/>
      <c r="BA9" s="19"/>
      <c r="BB9" s="19"/>
      <c r="BC9" s="19"/>
      <c r="BD9" s="19"/>
      <c r="BE9" s="19"/>
      <c r="BF9" s="19"/>
      <c r="BG9" s="19"/>
      <c r="BH9" s="42"/>
      <c r="BI9" s="19"/>
      <c r="BJ9" s="19"/>
      <c r="BK9" s="19"/>
      <c r="BL9" s="19"/>
      <c r="BM9" s="19"/>
      <c r="BN9" s="19"/>
      <c r="BO9" s="19"/>
      <c r="BP9" s="78"/>
      <c r="BQ9" s="42"/>
      <c r="BR9" s="42"/>
      <c r="BS9" s="42"/>
      <c r="BT9" s="42"/>
      <c r="BU9" s="42"/>
      <c r="BV9" s="42"/>
      <c r="BW9" s="42"/>
      <c r="BX9" s="42"/>
      <c r="BY9" s="43"/>
      <c r="BZ9" s="43"/>
      <c r="CA9" s="42"/>
      <c r="CB9" s="42"/>
      <c r="CC9" s="42"/>
      <c r="CD9" s="42"/>
      <c r="CE9" s="42"/>
      <c r="CF9" s="42"/>
      <c r="CG9" s="74"/>
      <c r="CH9" s="42"/>
      <c r="CI9" s="74"/>
      <c r="CJ9" s="74"/>
      <c r="CK9" s="74"/>
      <c r="CL9" s="74"/>
      <c r="CM9" s="74"/>
      <c r="CN9" s="74"/>
      <c r="CO9" s="74"/>
      <c r="CP9" s="84"/>
      <c r="CQ9"/>
      <c r="CR9"/>
      <c r="CS9"/>
      <c r="CT9"/>
      <c r="CU9"/>
      <c r="CV9"/>
      <c r="CW9"/>
      <c r="CX9"/>
      <c r="CY9"/>
      <c r="CZ9"/>
      <c r="DA9"/>
      <c r="DB9"/>
      <c r="DC9"/>
      <c r="DD9"/>
      <c r="DE9"/>
      <c r="DF9"/>
      <c r="DG9"/>
      <c r="DH9"/>
      <c r="DI9"/>
      <c r="DJ9"/>
      <c r="DK9"/>
      <c r="DL9"/>
      <c r="DM9"/>
      <c r="DN9"/>
      <c r="DO9"/>
      <c r="DP9"/>
      <c r="DQ9"/>
    </row>
    <row r="10" spans="1:121" s="3" customFormat="1" ht="30" customHeight="1" thickBot="1" x14ac:dyDescent="0.3">
      <c r="A10" s="22"/>
      <c r="B10" s="100" t="s">
        <v>31</v>
      </c>
      <c r="C10" s="100"/>
      <c r="D10" s="13">
        <v>1</v>
      </c>
      <c r="E10" s="40">
        <v>45896</v>
      </c>
      <c r="F10" s="40">
        <f>E10+7</f>
        <v>45903</v>
      </c>
      <c r="G10" s="47"/>
      <c r="H10" s="12">
        <f t="shared" si="25"/>
        <v>8</v>
      </c>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78"/>
      <c r="AL10" s="78"/>
      <c r="AM10" s="19"/>
      <c r="AN10" s="19"/>
      <c r="AO10" s="19"/>
      <c r="AP10" s="19"/>
      <c r="AQ10" s="19"/>
      <c r="AR10" s="19"/>
      <c r="AS10" s="19"/>
      <c r="AT10" s="19"/>
      <c r="AU10" s="19"/>
      <c r="AV10" s="19"/>
      <c r="AW10" s="19"/>
      <c r="AX10" s="19"/>
      <c r="AY10" s="19"/>
      <c r="AZ10" s="19"/>
      <c r="BA10" s="19"/>
      <c r="BB10" s="19"/>
      <c r="BC10" s="19"/>
      <c r="BD10" s="19"/>
      <c r="BE10" s="19"/>
      <c r="BF10" s="19"/>
      <c r="BG10" s="19"/>
      <c r="BH10" s="42"/>
      <c r="BI10" s="19"/>
      <c r="BJ10" s="19"/>
      <c r="BK10" s="19"/>
      <c r="BL10" s="19"/>
      <c r="BM10" s="19"/>
      <c r="BN10" s="19"/>
      <c r="BO10" s="19"/>
      <c r="BP10" s="78"/>
      <c r="BQ10" s="42"/>
      <c r="BR10" s="42"/>
      <c r="BS10" s="42"/>
      <c r="BT10" s="42"/>
      <c r="BU10" s="42"/>
      <c r="BV10" s="42"/>
      <c r="BW10" s="42"/>
      <c r="BX10" s="42"/>
      <c r="BY10" s="42"/>
      <c r="BZ10" s="42"/>
      <c r="CA10" s="42"/>
      <c r="CB10" s="42"/>
      <c r="CC10" s="42"/>
      <c r="CD10" s="42"/>
      <c r="CE10" s="42"/>
      <c r="CF10" s="42"/>
      <c r="CG10" s="74"/>
      <c r="CH10" s="42"/>
      <c r="CJ10" s="74"/>
      <c r="CK10" s="74"/>
      <c r="CL10" s="74"/>
      <c r="CM10" s="74"/>
      <c r="CN10" s="74"/>
      <c r="CO10" s="74"/>
      <c r="CP10" s="84"/>
      <c r="CQ10"/>
      <c r="CR10"/>
      <c r="CS10"/>
      <c r="CT10"/>
      <c r="CU10"/>
      <c r="CV10"/>
      <c r="CW10"/>
      <c r="CX10"/>
      <c r="CY10"/>
      <c r="CZ10"/>
      <c r="DA10"/>
      <c r="DB10"/>
      <c r="DC10"/>
      <c r="DD10"/>
      <c r="DE10"/>
      <c r="DF10"/>
      <c r="DG10"/>
      <c r="DH10"/>
      <c r="DI10"/>
      <c r="DJ10"/>
      <c r="DK10"/>
      <c r="DL10"/>
      <c r="DM10"/>
      <c r="DN10"/>
      <c r="DO10"/>
      <c r="DP10"/>
      <c r="DQ10"/>
    </row>
    <row r="11" spans="1:121" s="3" customFormat="1" ht="30" customHeight="1" thickBot="1" x14ac:dyDescent="0.3">
      <c r="A11" s="22"/>
      <c r="B11" s="100" t="s">
        <v>38</v>
      </c>
      <c r="C11" s="100"/>
      <c r="D11" s="13">
        <v>1</v>
      </c>
      <c r="E11" s="40">
        <v>45904</v>
      </c>
      <c r="F11" s="40">
        <v>45908</v>
      </c>
      <c r="G11" s="47"/>
      <c r="H11" s="12"/>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78"/>
      <c r="AL11" s="78"/>
      <c r="AM11" s="19"/>
      <c r="AN11" s="19"/>
      <c r="AO11" s="19"/>
      <c r="AP11" s="19"/>
      <c r="AQ11" s="19"/>
      <c r="AR11" s="19"/>
      <c r="AS11" s="19"/>
      <c r="AT11" s="19"/>
      <c r="AU11" s="19"/>
      <c r="AV11" s="19"/>
      <c r="AW11" s="19"/>
      <c r="AX11" s="19"/>
      <c r="AY11" s="19"/>
      <c r="AZ11" s="19"/>
      <c r="BA11" s="19"/>
      <c r="BB11" s="19"/>
      <c r="BC11" s="19"/>
      <c r="BD11" s="19"/>
      <c r="BE11" s="19"/>
      <c r="BF11" s="19"/>
      <c r="BG11" s="19"/>
      <c r="BH11" s="42"/>
      <c r="BI11" s="19"/>
      <c r="BJ11" s="19"/>
      <c r="BK11" s="19"/>
      <c r="BL11" s="19"/>
      <c r="BM11" s="19"/>
      <c r="BN11" s="19"/>
      <c r="BO11" s="19"/>
      <c r="BP11" s="78"/>
      <c r="BQ11" s="42"/>
      <c r="BR11" s="42"/>
      <c r="BS11" s="42"/>
      <c r="BT11" s="42"/>
      <c r="BU11" s="42"/>
      <c r="BV11" s="42"/>
      <c r="BW11" s="42"/>
      <c r="BX11" s="42"/>
      <c r="BY11" s="42"/>
      <c r="BZ11" s="42"/>
      <c r="CA11" s="42"/>
      <c r="CB11" s="42"/>
      <c r="CC11" s="42"/>
      <c r="CD11" s="42"/>
      <c r="CE11" s="42"/>
      <c r="CF11" s="42"/>
      <c r="CG11" s="74"/>
      <c r="CH11" s="42"/>
      <c r="CI11" s="74"/>
      <c r="CJ11" s="74"/>
      <c r="CK11" s="74"/>
      <c r="CL11" s="74"/>
      <c r="CM11" s="74"/>
      <c r="CN11" s="74"/>
      <c r="CO11" s="74"/>
      <c r="CP11" s="84"/>
      <c r="CQ11"/>
      <c r="CR11"/>
      <c r="CS11"/>
      <c r="CT11"/>
      <c r="CU11"/>
      <c r="CV11"/>
      <c r="CW11"/>
      <c r="CX11"/>
      <c r="CY11"/>
      <c r="CZ11"/>
      <c r="DA11"/>
      <c r="DB11"/>
      <c r="DC11"/>
      <c r="DD11"/>
      <c r="DE11"/>
      <c r="DF11"/>
      <c r="DG11"/>
      <c r="DH11"/>
      <c r="DI11"/>
      <c r="DJ11"/>
      <c r="DK11"/>
      <c r="DL11"/>
      <c r="DM11"/>
      <c r="DN11"/>
      <c r="DO11"/>
      <c r="DP11"/>
      <c r="DQ11"/>
    </row>
    <row r="12" spans="1:121" s="3" customFormat="1" ht="30" customHeight="1" thickBot="1" x14ac:dyDescent="0.3">
      <c r="A12" s="22"/>
      <c r="B12" s="100" t="s">
        <v>39</v>
      </c>
      <c r="C12" s="100"/>
      <c r="D12" s="13">
        <v>1</v>
      </c>
      <c r="E12" s="40">
        <v>45909</v>
      </c>
      <c r="F12" s="40">
        <f>E12+3</f>
        <v>45912</v>
      </c>
      <c r="G12" s="47"/>
      <c r="H12" s="12"/>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78"/>
      <c r="AL12" s="78"/>
      <c r="AM12" s="19"/>
      <c r="AN12" s="19"/>
      <c r="AO12" s="19"/>
      <c r="AP12" s="19"/>
      <c r="AQ12" s="19"/>
      <c r="AR12" s="19"/>
      <c r="AS12" s="19"/>
      <c r="AT12" s="19"/>
      <c r="AU12" s="19"/>
      <c r="AV12" s="19"/>
      <c r="AW12" s="19"/>
      <c r="AX12" s="19"/>
      <c r="AY12" s="19"/>
      <c r="AZ12" s="19"/>
      <c r="BA12" s="19"/>
      <c r="BB12" s="19"/>
      <c r="BC12" s="19"/>
      <c r="BD12" s="19"/>
      <c r="BE12" s="19"/>
      <c r="BF12" s="19"/>
      <c r="BG12" s="19"/>
      <c r="BH12" s="42"/>
      <c r="BI12" s="19"/>
      <c r="BJ12" s="19"/>
      <c r="BK12" s="19"/>
      <c r="BL12" s="19"/>
      <c r="BM12" s="19"/>
      <c r="BN12" s="19"/>
      <c r="BO12" s="19"/>
      <c r="BP12" s="78"/>
      <c r="BQ12" s="42"/>
      <c r="BR12" s="42"/>
      <c r="BS12" s="42"/>
      <c r="BT12" s="42"/>
      <c r="BU12" s="42"/>
      <c r="BV12" s="42"/>
      <c r="BW12" s="42"/>
      <c r="BX12" s="42"/>
      <c r="BY12" s="42"/>
      <c r="BZ12" s="42"/>
      <c r="CA12" s="42"/>
      <c r="CB12" s="42"/>
      <c r="CC12" s="42"/>
      <c r="CD12" s="42"/>
      <c r="CE12" s="42"/>
      <c r="CF12" s="42"/>
      <c r="CG12" s="74"/>
      <c r="CH12" s="42"/>
      <c r="CI12" s="74"/>
      <c r="CJ12" s="74"/>
      <c r="CK12" s="74"/>
      <c r="CL12" s="74"/>
      <c r="CM12" s="74"/>
      <c r="CN12" s="74"/>
      <c r="CO12" s="74"/>
      <c r="CP12" s="84"/>
      <c r="CQ12"/>
      <c r="CR12"/>
      <c r="CS12"/>
      <c r="CT12"/>
      <c r="CU12"/>
      <c r="CV12"/>
      <c r="CW12"/>
      <c r="CX12"/>
      <c r="CY12"/>
      <c r="CZ12"/>
      <c r="DA12"/>
      <c r="DB12"/>
      <c r="DC12"/>
      <c r="DD12"/>
      <c r="DE12"/>
      <c r="DF12"/>
      <c r="DG12"/>
      <c r="DH12"/>
      <c r="DI12"/>
      <c r="DJ12"/>
      <c r="DK12"/>
      <c r="DL12"/>
      <c r="DM12"/>
      <c r="DN12"/>
      <c r="DO12"/>
      <c r="DP12"/>
      <c r="DQ12"/>
    </row>
    <row r="13" spans="1:121" s="3" customFormat="1" ht="30" customHeight="1" thickBot="1" x14ac:dyDescent="0.3">
      <c r="A13" s="22"/>
      <c r="B13" s="100" t="s">
        <v>40</v>
      </c>
      <c r="C13" s="100"/>
      <c r="D13" s="13">
        <v>1</v>
      </c>
      <c r="E13" s="40">
        <v>45912</v>
      </c>
      <c r="F13" s="40">
        <v>45917</v>
      </c>
      <c r="G13" s="47"/>
      <c r="H13" s="12"/>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78"/>
      <c r="AL13" s="78"/>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78"/>
      <c r="BQ13" s="19"/>
      <c r="BR13" s="19"/>
      <c r="BS13" s="19"/>
      <c r="BT13" s="19"/>
      <c r="BU13" s="19"/>
      <c r="BV13" s="19"/>
      <c r="BW13" s="19"/>
      <c r="BX13" s="19"/>
      <c r="BY13" s="19"/>
      <c r="BZ13" s="19"/>
      <c r="CA13" s="19"/>
      <c r="CB13" s="19"/>
      <c r="CC13" s="19"/>
      <c r="CD13" s="19"/>
      <c r="CE13" s="19"/>
      <c r="CF13" s="19"/>
      <c r="CG13" s="71"/>
      <c r="CH13" s="19"/>
      <c r="CI13" s="19"/>
      <c r="CJ13" s="19"/>
      <c r="CK13" s="19"/>
      <c r="CL13" s="19"/>
      <c r="CM13" s="19"/>
      <c r="CN13" s="19"/>
      <c r="CO13" s="71"/>
      <c r="CP13" s="84"/>
      <c r="CQ13"/>
      <c r="CR13"/>
      <c r="CS13"/>
      <c r="CT13"/>
      <c r="CU13"/>
      <c r="CV13"/>
      <c r="CW13"/>
      <c r="CX13"/>
      <c r="CY13"/>
      <c r="CZ13"/>
      <c r="DA13"/>
      <c r="DB13"/>
      <c r="DC13"/>
      <c r="DD13"/>
      <c r="DE13"/>
      <c r="DF13"/>
      <c r="DG13"/>
      <c r="DH13"/>
      <c r="DI13"/>
      <c r="DJ13"/>
      <c r="DK13"/>
      <c r="DL13"/>
      <c r="DM13"/>
      <c r="DN13"/>
      <c r="DO13"/>
      <c r="DP13"/>
      <c r="DQ13"/>
    </row>
    <row r="14" spans="1:121" s="3" customFormat="1" ht="30" customHeight="1" thickBot="1" x14ac:dyDescent="0.3">
      <c r="A14" s="23" t="s">
        <v>7</v>
      </c>
      <c r="B14" s="14" t="s">
        <v>20</v>
      </c>
      <c r="C14" s="28"/>
      <c r="D14" s="15"/>
      <c r="E14" s="34"/>
      <c r="F14" s="35"/>
      <c r="G14" s="48"/>
      <c r="H14" s="12" t="str">
        <f t="shared" si="25"/>
        <v/>
      </c>
      <c r="I14" s="92"/>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4"/>
      <c r="CP14" s="84"/>
      <c r="CQ14"/>
      <c r="CR14"/>
      <c r="CS14"/>
      <c r="CT14"/>
      <c r="CU14"/>
      <c r="CV14"/>
      <c r="CW14"/>
      <c r="CX14"/>
      <c r="CY14"/>
      <c r="CZ14"/>
      <c r="DA14"/>
      <c r="DB14"/>
      <c r="DC14"/>
      <c r="DD14"/>
      <c r="DE14"/>
      <c r="DF14"/>
      <c r="DG14"/>
      <c r="DH14"/>
      <c r="DI14"/>
      <c r="DJ14"/>
      <c r="DK14"/>
      <c r="DL14"/>
      <c r="DM14"/>
      <c r="DN14"/>
      <c r="DO14"/>
      <c r="DP14"/>
      <c r="DQ14"/>
    </row>
    <row r="15" spans="1:121" s="3" customFormat="1" ht="30" customHeight="1" thickBot="1" x14ac:dyDescent="0.3">
      <c r="A15" s="23"/>
      <c r="B15" s="32" t="s">
        <v>22</v>
      </c>
      <c r="C15" s="29"/>
      <c r="D15" s="13">
        <v>1</v>
      </c>
      <c r="E15" s="41">
        <v>45917</v>
      </c>
      <c r="F15" s="41">
        <v>45917</v>
      </c>
      <c r="G15" s="49"/>
      <c r="H15" s="12"/>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78"/>
      <c r="AL15" s="78"/>
      <c r="AM15" s="19"/>
      <c r="AN15" s="19"/>
      <c r="AO15" s="19"/>
      <c r="AP15" s="19"/>
      <c r="AQ15" s="19"/>
      <c r="AR15" s="19"/>
      <c r="AS15" s="19"/>
      <c r="AT15" s="19"/>
      <c r="AU15" s="19"/>
      <c r="AV15" s="19"/>
      <c r="AW15" s="19"/>
      <c r="AX15" s="19"/>
      <c r="AY15" s="19"/>
      <c r="AZ15" s="19"/>
      <c r="BA15" s="19"/>
      <c r="BB15" s="19"/>
      <c r="BC15" s="19"/>
      <c r="BD15" s="19"/>
      <c r="BE15" s="19"/>
      <c r="BF15" s="19"/>
      <c r="BG15" s="19"/>
      <c r="BH15" s="42"/>
      <c r="BI15" s="19"/>
      <c r="BJ15" s="19"/>
      <c r="BK15" s="19"/>
      <c r="BL15" s="19"/>
      <c r="BM15" s="19"/>
      <c r="BN15" s="19"/>
      <c r="BO15" s="19"/>
      <c r="BP15" s="78"/>
      <c r="BQ15" s="42"/>
      <c r="BR15" s="42"/>
      <c r="BS15" s="42"/>
      <c r="BT15" s="42"/>
      <c r="BU15" s="42"/>
      <c r="BV15" s="42"/>
      <c r="BW15" s="42"/>
      <c r="BX15" s="42"/>
      <c r="BY15" s="42"/>
      <c r="BZ15" s="42"/>
      <c r="CA15" s="42"/>
      <c r="CB15" s="42"/>
      <c r="CC15" s="42"/>
      <c r="CD15" s="42"/>
      <c r="CE15" s="42"/>
      <c r="CF15" s="42"/>
      <c r="CG15" s="74"/>
      <c r="CH15" s="19"/>
      <c r="CI15" s="19"/>
      <c r="CJ15" s="19"/>
      <c r="CK15" s="19"/>
      <c r="CL15" s="19"/>
      <c r="CM15" s="19"/>
      <c r="CN15" s="19"/>
      <c r="CO15" s="71"/>
      <c r="CP15" s="84"/>
      <c r="CQ15"/>
      <c r="CR15"/>
      <c r="CS15"/>
      <c r="CT15"/>
      <c r="CU15"/>
      <c r="CV15"/>
      <c r="CW15"/>
      <c r="CX15"/>
      <c r="CY15"/>
      <c r="CZ15"/>
      <c r="DA15"/>
      <c r="DB15"/>
      <c r="DC15"/>
      <c r="DD15"/>
      <c r="DE15"/>
      <c r="DF15"/>
      <c r="DG15"/>
      <c r="DH15"/>
      <c r="DI15"/>
      <c r="DJ15"/>
      <c r="DK15"/>
      <c r="DL15"/>
      <c r="DM15"/>
      <c r="DN15"/>
      <c r="DO15"/>
      <c r="DP15"/>
      <c r="DQ15"/>
    </row>
    <row r="16" spans="1:121" s="3" customFormat="1" ht="30" customHeight="1" thickBot="1" x14ac:dyDescent="0.3">
      <c r="A16" s="23"/>
      <c r="B16" s="32" t="s">
        <v>23</v>
      </c>
      <c r="C16" s="29"/>
      <c r="D16" s="16">
        <v>1</v>
      </c>
      <c r="E16" s="41">
        <v>45922</v>
      </c>
      <c r="F16" s="41">
        <v>45954</v>
      </c>
      <c r="G16" s="49"/>
      <c r="H16" s="12"/>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78"/>
      <c r="AL16" s="78"/>
      <c r="AM16" s="19"/>
      <c r="AN16" s="19"/>
      <c r="AO16" s="19"/>
      <c r="AP16" s="19"/>
      <c r="AQ16" s="19"/>
      <c r="AR16" s="19"/>
      <c r="AS16" s="19"/>
      <c r="AT16" s="19"/>
      <c r="AU16" s="19"/>
      <c r="AV16" s="19"/>
      <c r="AW16" s="19"/>
      <c r="AX16" s="19"/>
      <c r="AY16" s="19"/>
      <c r="AZ16" s="19"/>
      <c r="BA16" s="19"/>
      <c r="BB16" s="19"/>
      <c r="BC16" s="19"/>
      <c r="BD16" s="19"/>
      <c r="BE16" s="19"/>
      <c r="BF16" s="19"/>
      <c r="BG16" s="19"/>
      <c r="BH16" s="42"/>
      <c r="BI16" s="19"/>
      <c r="BJ16" s="19"/>
      <c r="BK16" s="19"/>
      <c r="BL16" s="19"/>
      <c r="BM16" s="19"/>
      <c r="BN16" s="19"/>
      <c r="BO16" s="19"/>
      <c r="BP16" s="78"/>
      <c r="BQ16" s="42"/>
      <c r="BR16" s="42"/>
      <c r="BS16" s="42"/>
      <c r="BT16" s="42"/>
      <c r="BU16" s="42"/>
      <c r="BV16" s="42"/>
      <c r="BW16" s="42"/>
      <c r="BX16" s="42"/>
      <c r="BY16" s="42"/>
      <c r="BZ16" s="42"/>
      <c r="CA16" s="42"/>
      <c r="CB16" s="42"/>
      <c r="CC16" s="42"/>
      <c r="CD16" s="42"/>
      <c r="CE16" s="42"/>
      <c r="CF16" s="42"/>
      <c r="CG16" s="74"/>
      <c r="CH16" s="19"/>
      <c r="CI16" s="19"/>
      <c r="CJ16" s="19"/>
      <c r="CK16" s="19"/>
      <c r="CL16" s="19"/>
      <c r="CM16" s="19"/>
      <c r="CN16" s="19"/>
      <c r="CO16" s="71"/>
      <c r="CP16" s="84"/>
      <c r="CQ16"/>
      <c r="CR16"/>
      <c r="CS16"/>
      <c r="CT16"/>
      <c r="CU16"/>
      <c r="CV16"/>
      <c r="CW16"/>
      <c r="CX16"/>
      <c r="CY16"/>
      <c r="CZ16"/>
      <c r="DA16"/>
      <c r="DB16"/>
      <c r="DC16"/>
      <c r="DD16"/>
      <c r="DE16"/>
      <c r="DF16"/>
      <c r="DG16"/>
      <c r="DH16"/>
      <c r="DI16"/>
      <c r="DJ16"/>
      <c r="DK16"/>
      <c r="DL16"/>
      <c r="DM16"/>
      <c r="DN16"/>
      <c r="DO16"/>
      <c r="DP16"/>
      <c r="DQ16"/>
    </row>
    <row r="17" spans="1:121" s="3" customFormat="1" ht="30" customHeight="1" thickBot="1" x14ac:dyDescent="0.3">
      <c r="A17" s="23"/>
      <c r="B17" s="32" t="s">
        <v>24</v>
      </c>
      <c r="C17" s="29"/>
      <c r="D17" s="16">
        <v>1</v>
      </c>
      <c r="E17" s="41">
        <v>45926</v>
      </c>
      <c r="F17" s="41">
        <v>45960</v>
      </c>
      <c r="G17" s="49"/>
      <c r="H17" s="12"/>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78"/>
      <c r="AL17" s="78"/>
      <c r="AM17" s="19"/>
      <c r="AN17" s="19"/>
      <c r="AO17" s="19"/>
      <c r="AP17" s="19"/>
      <c r="AQ17" s="19"/>
      <c r="AR17" s="19"/>
      <c r="AS17" s="19"/>
      <c r="AT17" s="19"/>
      <c r="AU17" s="19"/>
      <c r="AV17" s="19"/>
      <c r="AW17" s="19"/>
      <c r="AX17" s="19"/>
      <c r="AY17" s="19"/>
      <c r="AZ17" s="19"/>
      <c r="BA17" s="19"/>
      <c r="BB17" s="19"/>
      <c r="BC17" s="19"/>
      <c r="BD17" s="19"/>
      <c r="BE17" s="19"/>
      <c r="BF17" s="19"/>
      <c r="BG17" s="19"/>
      <c r="BH17" s="42"/>
      <c r="BI17" s="19"/>
      <c r="BJ17" s="19"/>
      <c r="BK17" s="19"/>
      <c r="BL17" s="19"/>
      <c r="BM17" s="19"/>
      <c r="BN17" s="19"/>
      <c r="BO17" s="19"/>
      <c r="BP17" s="78"/>
      <c r="BQ17" s="42"/>
      <c r="BR17" s="42"/>
      <c r="BS17" s="42"/>
      <c r="BT17" s="42"/>
      <c r="BU17" s="42"/>
      <c r="BV17" s="42"/>
      <c r="BW17" s="42"/>
      <c r="BX17" s="42"/>
      <c r="BY17" s="42"/>
      <c r="BZ17" s="42"/>
      <c r="CA17" s="42"/>
      <c r="CB17" s="42"/>
      <c r="CC17" s="42"/>
      <c r="CD17" s="42"/>
      <c r="CE17" s="42"/>
      <c r="CF17" s="42"/>
      <c r="CG17" s="74"/>
      <c r="CH17" s="19"/>
      <c r="CI17" s="19"/>
      <c r="CJ17" s="19"/>
      <c r="CK17" s="19"/>
      <c r="CL17" s="19"/>
      <c r="CM17" s="19"/>
      <c r="CN17" s="19"/>
      <c r="CO17" s="71"/>
      <c r="CP17" s="84"/>
      <c r="CQ17"/>
      <c r="CR17"/>
      <c r="CS17"/>
      <c r="CT17"/>
      <c r="CU17"/>
      <c r="CV17"/>
      <c r="CW17"/>
      <c r="CX17"/>
      <c r="CY17"/>
      <c r="CZ17"/>
      <c r="DA17"/>
      <c r="DB17"/>
      <c r="DC17"/>
      <c r="DD17"/>
      <c r="DE17"/>
      <c r="DF17"/>
      <c r="DG17"/>
      <c r="DH17"/>
      <c r="DI17"/>
      <c r="DJ17"/>
      <c r="DK17"/>
      <c r="DL17"/>
      <c r="DM17"/>
      <c r="DN17"/>
      <c r="DO17"/>
      <c r="DP17"/>
      <c r="DQ17"/>
    </row>
    <row r="18" spans="1:121" s="3" customFormat="1" ht="30" customHeight="1" thickBot="1" x14ac:dyDescent="0.3">
      <c r="A18" s="23"/>
      <c r="B18" s="32" t="s">
        <v>25</v>
      </c>
      <c r="C18" s="29"/>
      <c r="D18" s="16">
        <v>1</v>
      </c>
      <c r="E18" s="41">
        <v>45964</v>
      </c>
      <c r="F18" s="41">
        <v>45967</v>
      </c>
      <c r="G18" s="49"/>
      <c r="H18" s="12"/>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78"/>
      <c r="AL18" s="78"/>
      <c r="AM18" s="19"/>
      <c r="AN18" s="19"/>
      <c r="AO18" s="19"/>
      <c r="AP18" s="19"/>
      <c r="AQ18" s="19"/>
      <c r="AR18" s="19"/>
      <c r="AS18" s="19"/>
      <c r="AT18" s="19"/>
      <c r="AU18" s="19"/>
      <c r="AV18" s="19"/>
      <c r="AW18" s="19"/>
      <c r="AX18" s="19"/>
      <c r="AY18" s="19"/>
      <c r="AZ18" s="19"/>
      <c r="BA18" s="19"/>
      <c r="BB18" s="19"/>
      <c r="BC18" s="19"/>
      <c r="BD18" s="19"/>
      <c r="BE18" s="19"/>
      <c r="BF18" s="19"/>
      <c r="BG18" s="19"/>
      <c r="BH18" s="42"/>
      <c r="BI18" s="19"/>
      <c r="BJ18" s="19"/>
      <c r="BK18" s="19"/>
      <c r="BL18" s="19"/>
      <c r="BM18" s="19"/>
      <c r="BN18" s="19"/>
      <c r="BO18" s="19"/>
      <c r="BP18" s="78"/>
      <c r="BQ18" s="42"/>
      <c r="BR18" s="42"/>
      <c r="BS18" s="42"/>
      <c r="BT18" s="42"/>
      <c r="BU18" s="42"/>
      <c r="BV18" s="42"/>
      <c r="BW18" s="19"/>
      <c r="BX18" s="19"/>
      <c r="BY18" s="19"/>
      <c r="BZ18" s="42"/>
      <c r="CA18" s="42"/>
      <c r="CB18" s="42"/>
      <c r="CC18" s="42"/>
      <c r="CD18" s="42"/>
      <c r="CE18" s="42"/>
      <c r="CF18" s="42"/>
      <c r="CG18" s="74"/>
      <c r="CH18" s="19"/>
      <c r="CI18" s="19"/>
      <c r="CJ18" s="19"/>
      <c r="CK18" s="19"/>
      <c r="CL18" s="19"/>
      <c r="CM18" s="19"/>
      <c r="CN18" s="19"/>
      <c r="CO18" s="71"/>
      <c r="CP18" s="84"/>
      <c r="CQ18"/>
      <c r="CR18"/>
      <c r="CS18"/>
      <c r="CT18"/>
      <c r="CU18"/>
      <c r="CV18"/>
      <c r="CW18"/>
      <c r="CX18"/>
      <c r="CY18"/>
      <c r="CZ18"/>
      <c r="DA18"/>
      <c r="DB18"/>
      <c r="DC18"/>
      <c r="DD18"/>
      <c r="DE18"/>
      <c r="DF18"/>
      <c r="DG18"/>
      <c r="DH18"/>
      <c r="DI18"/>
      <c r="DJ18"/>
      <c r="DK18"/>
      <c r="DL18"/>
      <c r="DM18"/>
      <c r="DN18"/>
      <c r="DO18"/>
      <c r="DP18"/>
      <c r="DQ18"/>
    </row>
    <row r="19" spans="1:121" s="3" customFormat="1" ht="30" customHeight="1" thickBot="1" x14ac:dyDescent="0.3">
      <c r="A19" s="23"/>
      <c r="B19" s="32" t="s">
        <v>26</v>
      </c>
      <c r="C19" s="29"/>
      <c r="D19" s="16">
        <v>1</v>
      </c>
      <c r="E19" s="41">
        <v>45968</v>
      </c>
      <c r="F19" s="41">
        <v>45972</v>
      </c>
      <c r="G19" s="49"/>
      <c r="H19" s="12"/>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78"/>
      <c r="AL19" s="78"/>
      <c r="AM19" s="19"/>
      <c r="AN19" s="19"/>
      <c r="AO19" s="19"/>
      <c r="AP19" s="19"/>
      <c r="AQ19" s="19"/>
      <c r="AR19" s="19"/>
      <c r="AS19" s="19"/>
      <c r="AT19" s="19"/>
      <c r="AU19" s="19"/>
      <c r="AV19" s="19"/>
      <c r="AW19" s="19"/>
      <c r="AX19" s="19"/>
      <c r="AY19" s="19"/>
      <c r="AZ19" s="19"/>
      <c r="BA19" s="19"/>
      <c r="BB19" s="19"/>
      <c r="BC19" s="19"/>
      <c r="BD19" s="19"/>
      <c r="BE19" s="19"/>
      <c r="BF19" s="19"/>
      <c r="BG19" s="19"/>
      <c r="BH19" s="42"/>
      <c r="BI19" s="19"/>
      <c r="BJ19" s="19"/>
      <c r="BK19" s="19"/>
      <c r="BL19" s="19"/>
      <c r="BM19" s="19"/>
      <c r="BN19" s="19"/>
      <c r="BO19" s="19"/>
      <c r="BP19" s="78"/>
      <c r="BQ19" s="42"/>
      <c r="BR19" s="19"/>
      <c r="BS19" s="42"/>
      <c r="BT19" s="42"/>
      <c r="BU19" s="19"/>
      <c r="BV19" s="19"/>
      <c r="BW19" s="19"/>
      <c r="BX19" s="19"/>
      <c r="BY19" s="19"/>
      <c r="BZ19" s="42"/>
      <c r="CA19" s="19"/>
      <c r="CB19" s="42"/>
      <c r="CC19" s="42"/>
      <c r="CD19" s="42"/>
      <c r="CE19" s="42"/>
      <c r="CF19" s="42"/>
      <c r="CG19" s="74"/>
      <c r="CH19" s="19"/>
      <c r="CI19" s="19"/>
      <c r="CJ19" s="19"/>
      <c r="CK19" s="19"/>
      <c r="CL19" s="19"/>
      <c r="CM19" s="19"/>
      <c r="CN19" s="19"/>
      <c r="CO19" s="71"/>
      <c r="CP19" s="84"/>
      <c r="CQ19"/>
      <c r="CR19"/>
      <c r="CS19"/>
      <c r="CT19"/>
      <c r="CU19"/>
      <c r="CV19"/>
      <c r="CW19"/>
      <c r="CX19"/>
      <c r="CY19"/>
      <c r="CZ19"/>
      <c r="DA19"/>
      <c r="DB19"/>
      <c r="DC19"/>
      <c r="DD19"/>
      <c r="DE19"/>
      <c r="DF19"/>
      <c r="DG19"/>
      <c r="DH19"/>
      <c r="DI19"/>
      <c r="DJ19"/>
      <c r="DK19"/>
      <c r="DL19"/>
      <c r="DM19"/>
      <c r="DN19"/>
      <c r="DO19"/>
      <c r="DP19"/>
      <c r="DQ19"/>
    </row>
    <row r="20" spans="1:121" s="3" customFormat="1" ht="30" customHeight="1" thickBot="1" x14ac:dyDescent="0.3">
      <c r="A20" s="23"/>
      <c r="B20" s="32" t="s">
        <v>27</v>
      </c>
      <c r="C20" s="29"/>
      <c r="D20" s="16">
        <v>1</v>
      </c>
      <c r="E20" s="41">
        <v>45972</v>
      </c>
      <c r="F20" s="41">
        <v>45974</v>
      </c>
      <c r="G20" s="49"/>
      <c r="H20" s="12"/>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78"/>
      <c r="AL20" s="78"/>
      <c r="AM20" s="19"/>
      <c r="AN20" s="19"/>
      <c r="AO20" s="19"/>
      <c r="AP20" s="19"/>
      <c r="AQ20" s="19"/>
      <c r="AR20" s="19"/>
      <c r="AS20" s="19"/>
      <c r="AT20" s="19"/>
      <c r="AU20" s="19"/>
      <c r="AV20" s="19"/>
      <c r="AW20" s="19"/>
      <c r="AX20" s="19"/>
      <c r="AY20" s="19"/>
      <c r="AZ20" s="19"/>
      <c r="BA20" s="19"/>
      <c r="BB20" s="19"/>
      <c r="BC20" s="19"/>
      <c r="BD20" s="19"/>
      <c r="BE20" s="19"/>
      <c r="BF20" s="19"/>
      <c r="BG20" s="19"/>
      <c r="BH20" s="42"/>
      <c r="BI20" s="19"/>
      <c r="BJ20" s="19"/>
      <c r="BK20" s="19"/>
      <c r="BL20" s="19"/>
      <c r="BM20" s="19"/>
      <c r="BN20" s="19"/>
      <c r="BO20" s="19"/>
      <c r="BP20" s="78"/>
      <c r="BQ20" s="42"/>
      <c r="BR20" s="42"/>
      <c r="BS20" s="42"/>
      <c r="BT20" s="42"/>
      <c r="BU20" s="42"/>
      <c r="BV20" s="42"/>
      <c r="BW20" s="42"/>
      <c r="BX20" s="42"/>
      <c r="BY20" s="42"/>
      <c r="BZ20" s="42"/>
      <c r="CA20" s="42"/>
      <c r="CB20" s="42"/>
      <c r="CC20" s="42"/>
      <c r="CD20" s="42"/>
      <c r="CE20" s="42"/>
      <c r="CF20" s="42"/>
      <c r="CG20" s="74"/>
      <c r="CH20" s="19"/>
      <c r="CI20" s="19"/>
      <c r="CJ20" s="19"/>
      <c r="CK20" s="19"/>
      <c r="CL20" s="19"/>
      <c r="CM20" s="19"/>
      <c r="CN20" s="19"/>
      <c r="CO20" s="71"/>
      <c r="CP20" s="84"/>
      <c r="CQ20"/>
      <c r="CR20"/>
      <c r="CS20"/>
      <c r="CT20"/>
      <c r="CU20"/>
      <c r="CV20"/>
      <c r="CW20"/>
      <c r="CX20"/>
      <c r="CY20"/>
      <c r="CZ20"/>
      <c r="DA20"/>
      <c r="DB20"/>
      <c r="DC20"/>
      <c r="DD20"/>
      <c r="DE20"/>
      <c r="DF20"/>
      <c r="DG20"/>
      <c r="DH20"/>
      <c r="DI20"/>
      <c r="DJ20"/>
      <c r="DK20"/>
      <c r="DL20"/>
      <c r="DM20"/>
      <c r="DN20"/>
      <c r="DO20"/>
      <c r="DP20"/>
      <c r="DQ20"/>
    </row>
    <row r="21" spans="1:121" s="3" customFormat="1" ht="30" customHeight="1" thickBot="1" x14ac:dyDescent="0.3">
      <c r="A21" s="23"/>
      <c r="B21" s="32" t="s">
        <v>28</v>
      </c>
      <c r="C21" s="29"/>
      <c r="D21" s="16">
        <v>1</v>
      </c>
      <c r="E21" s="41">
        <v>45975</v>
      </c>
      <c r="F21" s="41">
        <v>45979</v>
      </c>
      <c r="G21" s="49"/>
      <c r="H21" s="12"/>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78"/>
      <c r="AL21" s="78"/>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78"/>
      <c r="BQ21" s="42"/>
      <c r="BR21" s="42"/>
      <c r="BS21" s="42"/>
      <c r="BT21" s="42"/>
      <c r="BU21" s="42"/>
      <c r="BV21" s="42"/>
      <c r="BW21" s="42"/>
      <c r="BX21" s="42"/>
      <c r="BY21" s="42"/>
      <c r="BZ21" s="42"/>
      <c r="CA21" s="42"/>
      <c r="CB21" s="42"/>
      <c r="CC21" s="42"/>
      <c r="CD21" s="42"/>
      <c r="CE21" s="42"/>
      <c r="CF21" s="42"/>
      <c r="CG21" s="74"/>
      <c r="CH21" s="19"/>
      <c r="CI21" s="19"/>
      <c r="CJ21" s="19"/>
      <c r="CK21" s="19"/>
      <c r="CL21" s="19"/>
      <c r="CM21" s="19"/>
      <c r="CN21" s="19"/>
      <c r="CO21" s="71"/>
      <c r="CP21" s="84"/>
      <c r="CQ21"/>
      <c r="CR21"/>
      <c r="CS21"/>
      <c r="CT21"/>
      <c r="CU21"/>
      <c r="CV21"/>
      <c r="CW21"/>
      <c r="CX21"/>
      <c r="CY21"/>
      <c r="CZ21"/>
      <c r="DA21"/>
      <c r="DB21"/>
      <c r="DC21"/>
      <c r="DD21"/>
      <c r="DE21"/>
      <c r="DF21"/>
      <c r="DG21"/>
      <c r="DH21"/>
      <c r="DI21"/>
      <c r="DJ21"/>
      <c r="DK21"/>
      <c r="DL21"/>
      <c r="DM21"/>
      <c r="DN21"/>
      <c r="DO21"/>
      <c r="DP21"/>
      <c r="DQ21"/>
    </row>
    <row r="22" spans="1:121" s="3" customFormat="1" ht="30" customHeight="1" thickBot="1" x14ac:dyDescent="0.3">
      <c r="A22" s="22" t="s">
        <v>8</v>
      </c>
      <c r="B22" s="17" t="s">
        <v>21</v>
      </c>
      <c r="C22" s="30"/>
      <c r="D22" s="18"/>
      <c r="E22" s="36"/>
      <c r="F22" s="37"/>
      <c r="G22" s="50"/>
      <c r="H22" s="12" t="str">
        <f t="shared" si="25"/>
        <v/>
      </c>
      <c r="I22" s="90"/>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84"/>
      <c r="CQ22"/>
      <c r="CR22"/>
      <c r="CS22"/>
      <c r="CT22"/>
      <c r="CU22"/>
      <c r="CV22"/>
      <c r="CW22"/>
      <c r="CX22"/>
      <c r="CY22"/>
      <c r="CZ22"/>
      <c r="DA22"/>
      <c r="DB22"/>
      <c r="DC22"/>
      <c r="DD22"/>
      <c r="DE22"/>
      <c r="DF22"/>
      <c r="DG22"/>
      <c r="DH22"/>
      <c r="DI22"/>
      <c r="DJ22"/>
      <c r="DK22"/>
      <c r="DL22"/>
      <c r="DM22"/>
      <c r="DN22"/>
      <c r="DO22"/>
      <c r="DP22"/>
      <c r="DQ22"/>
    </row>
    <row r="23" spans="1:121" s="3" customFormat="1" ht="30" customHeight="1" thickBot="1" x14ac:dyDescent="0.3">
      <c r="A23" s="22"/>
      <c r="B23" s="59" t="s">
        <v>32</v>
      </c>
      <c r="C23" s="31"/>
      <c r="D23" s="16">
        <v>1</v>
      </c>
      <c r="E23" s="38">
        <v>45980</v>
      </c>
      <c r="F23" s="38">
        <v>45981</v>
      </c>
      <c r="G23" s="51"/>
      <c r="H23" s="12">
        <f t="shared" si="25"/>
        <v>2</v>
      </c>
      <c r="I23" s="19"/>
      <c r="J23" s="19"/>
      <c r="K23" s="19"/>
      <c r="L23" s="19"/>
      <c r="M23" s="19"/>
      <c r="N23" s="19"/>
      <c r="O23" s="19"/>
      <c r="P23" s="19"/>
      <c r="Q23" s="19"/>
      <c r="R23" s="19"/>
      <c r="S23" s="19"/>
      <c r="T23" s="19"/>
      <c r="U23" s="19"/>
      <c r="V23" s="19"/>
      <c r="W23" s="19"/>
      <c r="X23" s="19"/>
      <c r="Y23" s="19"/>
      <c r="Z23" s="19"/>
      <c r="AA23" s="19"/>
      <c r="AB23" s="19"/>
      <c r="AC23" s="42"/>
      <c r="AD23" s="42"/>
      <c r="AE23" s="19"/>
      <c r="AF23" s="19"/>
      <c r="AG23" s="19"/>
      <c r="AH23" s="19"/>
      <c r="AI23" s="19"/>
      <c r="AJ23" s="19"/>
      <c r="AK23" s="78"/>
      <c r="AL23" s="78"/>
      <c r="AM23" s="19"/>
      <c r="AN23" s="19"/>
      <c r="AO23" s="19"/>
      <c r="AP23" s="19"/>
      <c r="AQ23" s="19"/>
      <c r="AR23" s="19"/>
      <c r="AS23" s="19"/>
      <c r="AT23" s="19"/>
      <c r="AU23" s="19"/>
      <c r="AV23" s="19"/>
      <c r="AW23" s="19"/>
      <c r="AX23" s="19"/>
      <c r="AY23" s="19"/>
      <c r="AZ23" s="19"/>
      <c r="BA23" s="19"/>
      <c r="BB23" s="19"/>
      <c r="BC23" s="19"/>
      <c r="BD23" s="19"/>
      <c r="BE23" s="19"/>
      <c r="BF23" s="19"/>
      <c r="BG23" s="19"/>
      <c r="BH23" s="42"/>
      <c r="BI23" s="19"/>
      <c r="BJ23" s="19"/>
      <c r="BK23" s="19"/>
      <c r="BL23" s="19"/>
      <c r="BM23" s="19"/>
      <c r="BN23" s="19"/>
      <c r="BO23" s="19"/>
      <c r="BP23" s="78"/>
      <c r="BQ23" s="42"/>
      <c r="BR23" s="42"/>
      <c r="BS23" s="42"/>
      <c r="BT23" s="42"/>
      <c r="BU23" s="42"/>
      <c r="BV23" s="42"/>
      <c r="BW23" s="42"/>
      <c r="BX23" s="42"/>
      <c r="BY23" s="42"/>
      <c r="BZ23" s="42"/>
      <c r="CA23" s="42"/>
      <c r="CB23" s="42"/>
      <c r="CC23" s="42"/>
      <c r="CD23" s="42"/>
      <c r="CE23" s="42"/>
      <c r="CF23" s="42"/>
      <c r="CG23" s="74"/>
      <c r="CH23" s="19"/>
      <c r="CI23" s="19"/>
      <c r="CJ23" s="19"/>
      <c r="CK23" s="19"/>
      <c r="CL23" s="19"/>
      <c r="CM23" s="19"/>
      <c r="CN23" s="19"/>
      <c r="CO23" s="71"/>
      <c r="CP23" s="84"/>
      <c r="CQ23"/>
      <c r="CR23"/>
      <c r="CS23"/>
      <c r="CT23"/>
      <c r="CU23"/>
      <c r="CV23"/>
      <c r="CW23"/>
      <c r="CX23"/>
      <c r="CY23"/>
      <c r="CZ23"/>
      <c r="DA23"/>
      <c r="DB23"/>
      <c r="DC23"/>
      <c r="DD23"/>
      <c r="DE23"/>
      <c r="DF23"/>
      <c r="DG23"/>
      <c r="DH23"/>
      <c r="DI23"/>
      <c r="DJ23"/>
      <c r="DK23"/>
      <c r="DL23"/>
      <c r="DM23"/>
      <c r="DN23"/>
      <c r="DO23"/>
      <c r="DP23"/>
      <c r="DQ23"/>
    </row>
    <row r="24" spans="1:121" s="3" customFormat="1" ht="30" customHeight="1" thickBot="1" x14ac:dyDescent="0.3">
      <c r="A24" s="22"/>
      <c r="B24" s="59" t="s">
        <v>33</v>
      </c>
      <c r="C24" s="31"/>
      <c r="D24" s="16">
        <v>1</v>
      </c>
      <c r="E24" s="38">
        <v>45980</v>
      </c>
      <c r="F24" s="38">
        <v>45982</v>
      </c>
      <c r="G24" s="51"/>
      <c r="H24" s="12">
        <f t="shared" si="25"/>
        <v>3</v>
      </c>
      <c r="I24" s="19"/>
      <c r="J24" s="19"/>
      <c r="K24" s="19"/>
      <c r="L24" s="19"/>
      <c r="M24" s="19"/>
      <c r="N24" s="19"/>
      <c r="O24" s="19"/>
      <c r="P24" s="19"/>
      <c r="Q24" s="19"/>
      <c r="R24" s="19"/>
      <c r="S24" s="19"/>
      <c r="T24" s="19"/>
      <c r="U24" s="19"/>
      <c r="V24" s="19"/>
      <c r="W24" s="19"/>
      <c r="X24" s="19"/>
      <c r="Y24" s="19"/>
      <c r="Z24" s="19"/>
      <c r="AA24" s="19"/>
      <c r="AB24" s="19"/>
      <c r="AC24" s="42"/>
      <c r="AD24" s="42"/>
      <c r="AE24" s="19"/>
      <c r="AF24" s="19"/>
      <c r="AG24" s="19"/>
      <c r="AH24" s="19"/>
      <c r="AI24" s="19"/>
      <c r="AJ24" s="19"/>
      <c r="AK24" s="78"/>
      <c r="AL24" s="78"/>
      <c r="AM24" s="19"/>
      <c r="AN24" s="19"/>
      <c r="AO24" s="19"/>
      <c r="AP24" s="19"/>
      <c r="AQ24" s="19"/>
      <c r="AR24" s="19"/>
      <c r="AS24" s="19"/>
      <c r="AT24" s="19"/>
      <c r="AU24" s="19"/>
      <c r="AV24" s="19"/>
      <c r="AW24" s="19"/>
      <c r="AX24" s="19"/>
      <c r="AY24" s="19"/>
      <c r="AZ24" s="19"/>
      <c r="BA24" s="19"/>
      <c r="BB24" s="19"/>
      <c r="BC24" s="19"/>
      <c r="BD24" s="19"/>
      <c r="BE24" s="19"/>
      <c r="BF24" s="19"/>
      <c r="BG24" s="19"/>
      <c r="BH24" s="42"/>
      <c r="BI24" s="19"/>
      <c r="BJ24" s="19"/>
      <c r="BK24" s="19"/>
      <c r="BL24" s="19"/>
      <c r="BM24" s="19"/>
      <c r="BN24" s="19"/>
      <c r="BO24" s="19"/>
      <c r="BP24" s="78"/>
      <c r="BQ24" s="42"/>
      <c r="BR24" s="42"/>
      <c r="BS24" s="42"/>
      <c r="BT24" s="42"/>
      <c r="BU24" s="42"/>
      <c r="BV24" s="42"/>
      <c r="BW24" s="42"/>
      <c r="BX24" s="42"/>
      <c r="BY24" s="42"/>
      <c r="BZ24" s="42"/>
      <c r="CA24" s="42"/>
      <c r="CB24" s="42"/>
      <c r="CC24" s="42"/>
      <c r="CD24" s="42"/>
      <c r="CE24" s="42"/>
      <c r="CF24" s="42"/>
      <c r="CG24" s="74"/>
      <c r="CH24" s="19"/>
      <c r="CI24" s="19"/>
      <c r="CJ24" s="19"/>
      <c r="CK24" s="19"/>
      <c r="CL24" s="19"/>
      <c r="CM24" s="19"/>
      <c r="CN24" s="19"/>
      <c r="CO24" s="71"/>
      <c r="CP24" s="84"/>
      <c r="CQ24"/>
      <c r="CR24"/>
      <c r="CS24"/>
      <c r="CT24"/>
      <c r="CU24"/>
      <c r="CV24"/>
      <c r="CW24"/>
      <c r="CX24"/>
      <c r="CY24"/>
      <c r="CZ24"/>
      <c r="DA24"/>
      <c r="DB24"/>
      <c r="DC24"/>
      <c r="DD24"/>
      <c r="DE24"/>
      <c r="DF24"/>
      <c r="DG24"/>
      <c r="DH24"/>
      <c r="DI24"/>
      <c r="DJ24"/>
      <c r="DK24"/>
      <c r="DL24"/>
      <c r="DM24"/>
      <c r="DN24"/>
      <c r="DO24"/>
      <c r="DP24"/>
      <c r="DQ24"/>
    </row>
    <row r="25" spans="1:121" s="3" customFormat="1" ht="30" customHeight="1" thickBot="1" x14ac:dyDescent="0.3">
      <c r="A25" s="22"/>
      <c r="B25" s="59" t="s">
        <v>34</v>
      </c>
      <c r="C25" s="31"/>
      <c r="D25" s="16">
        <v>1</v>
      </c>
      <c r="E25" s="38">
        <v>45985</v>
      </c>
      <c r="F25" s="38">
        <v>45986</v>
      </c>
      <c r="G25" s="51"/>
      <c r="H25" s="12"/>
      <c r="I25" s="19"/>
      <c r="J25" s="19"/>
      <c r="K25" s="19"/>
      <c r="L25" s="19"/>
      <c r="M25" s="19"/>
      <c r="N25" s="19"/>
      <c r="O25" s="19"/>
      <c r="P25" s="19"/>
      <c r="Q25" s="19"/>
      <c r="R25" s="19"/>
      <c r="S25" s="19"/>
      <c r="T25" s="19"/>
      <c r="U25" s="19"/>
      <c r="V25" s="19"/>
      <c r="W25" s="19"/>
      <c r="X25" s="19"/>
      <c r="Y25" s="19"/>
      <c r="Z25" s="19"/>
      <c r="AA25" s="19"/>
      <c r="AB25" s="19"/>
      <c r="AC25" s="42"/>
      <c r="AD25" s="42"/>
      <c r="AE25" s="19"/>
      <c r="AF25" s="19"/>
      <c r="AG25" s="19"/>
      <c r="AH25" s="19"/>
      <c r="AI25" s="19"/>
      <c r="AJ25" s="19"/>
      <c r="AK25" s="78"/>
      <c r="AL25" s="78"/>
      <c r="AM25" s="19"/>
      <c r="AN25" s="19"/>
      <c r="AO25" s="19"/>
      <c r="AP25" s="19"/>
      <c r="AQ25" s="19"/>
      <c r="AR25" s="19"/>
      <c r="AS25" s="19"/>
      <c r="AT25" s="19"/>
      <c r="AU25" s="19"/>
      <c r="AV25" s="19"/>
      <c r="AW25" s="19"/>
      <c r="AX25" s="19"/>
      <c r="AY25" s="19"/>
      <c r="AZ25" s="19"/>
      <c r="BA25" s="19"/>
      <c r="BB25" s="19"/>
      <c r="BC25" s="19"/>
      <c r="BD25" s="19"/>
      <c r="BE25" s="19"/>
      <c r="BF25" s="19"/>
      <c r="BG25" s="19"/>
      <c r="BH25" s="42"/>
      <c r="BI25" s="19"/>
      <c r="BJ25" s="19"/>
      <c r="BK25" s="19"/>
      <c r="BL25" s="19"/>
      <c r="BM25" s="19"/>
      <c r="BN25" s="19"/>
      <c r="BO25" s="19"/>
      <c r="BP25" s="78"/>
      <c r="BQ25" s="42"/>
      <c r="BR25" s="42"/>
      <c r="BS25" s="42"/>
      <c r="BT25" s="42"/>
      <c r="BU25" s="42"/>
      <c r="BV25" s="42"/>
      <c r="BW25" s="42"/>
      <c r="BX25" s="42"/>
      <c r="BY25" s="42"/>
      <c r="BZ25" s="42"/>
      <c r="CA25" s="42"/>
      <c r="CB25" s="42"/>
      <c r="CC25" s="42"/>
      <c r="CD25" s="42"/>
      <c r="CE25" s="42"/>
      <c r="CF25" s="42"/>
      <c r="CG25" s="74"/>
      <c r="CH25" s="19"/>
      <c r="CI25" s="19"/>
      <c r="CJ25" s="19"/>
      <c r="CK25" s="19"/>
      <c r="CL25" s="19"/>
      <c r="CM25" s="19"/>
      <c r="CN25" s="19"/>
      <c r="CO25" s="71"/>
      <c r="CP25" s="84"/>
      <c r="CQ25"/>
      <c r="CR25"/>
      <c r="CS25"/>
      <c r="CT25"/>
      <c r="CU25"/>
      <c r="CV25"/>
      <c r="CW25"/>
      <c r="CX25"/>
      <c r="CY25"/>
      <c r="CZ25"/>
      <c r="DA25"/>
      <c r="DB25"/>
      <c r="DC25"/>
      <c r="DD25"/>
      <c r="DE25"/>
      <c r="DF25"/>
      <c r="DG25"/>
      <c r="DH25"/>
      <c r="DI25"/>
      <c r="DJ25"/>
      <c r="DK25"/>
      <c r="DL25"/>
      <c r="DM25"/>
      <c r="DN25"/>
      <c r="DO25"/>
      <c r="DP25"/>
      <c r="DQ25"/>
    </row>
    <row r="26" spans="1:121" s="3" customFormat="1" ht="30" customHeight="1" thickBot="1" x14ac:dyDescent="0.3">
      <c r="A26" s="22"/>
      <c r="B26" s="59" t="s">
        <v>35</v>
      </c>
      <c r="C26" s="31"/>
      <c r="D26" s="16">
        <v>1</v>
      </c>
      <c r="E26" s="38">
        <v>45987</v>
      </c>
      <c r="F26" s="38">
        <v>45988</v>
      </c>
      <c r="G26" s="51"/>
      <c r="H26" s="12">
        <f t="shared" si="25"/>
        <v>2</v>
      </c>
      <c r="I26" s="19"/>
      <c r="J26" s="19"/>
      <c r="K26" s="19"/>
      <c r="L26" s="19"/>
      <c r="M26" s="19"/>
      <c r="N26" s="19"/>
      <c r="O26" s="19"/>
      <c r="P26" s="19"/>
      <c r="Q26" s="19"/>
      <c r="R26" s="19"/>
      <c r="S26" s="19"/>
      <c r="T26" s="19"/>
      <c r="U26" s="19"/>
      <c r="V26" s="19"/>
      <c r="W26" s="19"/>
      <c r="X26" s="19"/>
      <c r="Y26" s="19"/>
      <c r="Z26" s="19"/>
      <c r="AA26" s="19"/>
      <c r="AB26" s="19"/>
      <c r="AC26" s="42"/>
      <c r="AD26" s="42"/>
      <c r="AE26" s="19"/>
      <c r="AF26" s="19"/>
      <c r="AG26" s="19"/>
      <c r="AH26" s="19"/>
      <c r="AI26" s="19"/>
      <c r="AJ26" s="19"/>
      <c r="AK26" s="78"/>
      <c r="AL26" s="78"/>
      <c r="AM26" s="19"/>
      <c r="AN26" s="19"/>
      <c r="AO26" s="19"/>
      <c r="AP26" s="19"/>
      <c r="AQ26" s="19"/>
      <c r="AR26" s="19"/>
      <c r="AS26" s="19"/>
      <c r="AT26" s="19"/>
      <c r="AU26" s="19"/>
      <c r="AV26" s="19"/>
      <c r="AW26" s="19"/>
      <c r="AX26" s="19"/>
      <c r="AY26" s="19"/>
      <c r="AZ26" s="19"/>
      <c r="BA26" s="19"/>
      <c r="BB26" s="19"/>
      <c r="BC26" s="19"/>
      <c r="BD26" s="19"/>
      <c r="BE26" s="19"/>
      <c r="BF26" s="19"/>
      <c r="BG26" s="19"/>
      <c r="BH26" s="42"/>
      <c r="BI26" s="19"/>
      <c r="BJ26" s="19"/>
      <c r="BK26" s="19"/>
      <c r="BL26" s="19"/>
      <c r="BM26" s="19"/>
      <c r="BN26" s="19"/>
      <c r="BO26" s="19"/>
      <c r="BP26" s="78"/>
      <c r="BQ26" s="42"/>
      <c r="BR26" s="42"/>
      <c r="BS26" s="42"/>
      <c r="BT26" s="42"/>
      <c r="BU26" s="42"/>
      <c r="BV26" s="42"/>
      <c r="BW26" s="42"/>
      <c r="BX26" s="42"/>
      <c r="BY26" s="42"/>
      <c r="BZ26" s="42"/>
      <c r="CA26" s="42"/>
      <c r="CB26" s="42"/>
      <c r="CC26" s="42"/>
      <c r="CD26" s="42"/>
      <c r="CE26" s="42"/>
      <c r="CF26" s="42"/>
      <c r="CG26" s="74"/>
      <c r="CH26" s="19"/>
      <c r="CI26" s="19"/>
      <c r="CJ26" s="19"/>
      <c r="CK26" s="19"/>
      <c r="CL26" s="19"/>
      <c r="CM26" s="19"/>
      <c r="CN26" s="19"/>
      <c r="CO26" s="71"/>
      <c r="CP26" s="84"/>
      <c r="CQ26"/>
      <c r="CR26"/>
      <c r="CS26"/>
      <c r="CT26"/>
      <c r="CU26"/>
      <c r="CV26"/>
      <c r="CW26"/>
      <c r="CX26"/>
      <c r="CY26"/>
      <c r="CZ26"/>
      <c r="DA26"/>
      <c r="DB26"/>
      <c r="DC26"/>
      <c r="DD26"/>
      <c r="DE26"/>
      <c r="DF26"/>
      <c r="DG26"/>
      <c r="DH26"/>
      <c r="DI26"/>
      <c r="DJ26"/>
      <c r="DK26"/>
      <c r="DL26"/>
      <c r="DM26"/>
      <c r="DN26"/>
      <c r="DO26"/>
      <c r="DP26"/>
      <c r="DQ26"/>
    </row>
    <row r="27" spans="1:121" s="3" customFormat="1" ht="30" customHeight="1" thickBot="1" x14ac:dyDescent="0.3">
      <c r="A27" s="22"/>
      <c r="B27" s="59" t="s">
        <v>36</v>
      </c>
      <c r="C27" s="31"/>
      <c r="D27" s="16">
        <v>1</v>
      </c>
      <c r="E27" s="38">
        <v>45988</v>
      </c>
      <c r="F27" s="38">
        <v>45988</v>
      </c>
      <c r="G27" s="51"/>
      <c r="H27" s="12">
        <f t="shared" si="25"/>
        <v>1</v>
      </c>
      <c r="I27" s="19"/>
      <c r="J27" s="19"/>
      <c r="K27" s="19"/>
      <c r="L27" s="19"/>
      <c r="M27" s="19"/>
      <c r="N27" s="19"/>
      <c r="O27" s="19"/>
      <c r="P27" s="19"/>
      <c r="Q27" s="19"/>
      <c r="R27" s="19"/>
      <c r="S27" s="19"/>
      <c r="T27" s="19"/>
      <c r="U27" s="19"/>
      <c r="V27" s="19"/>
      <c r="W27" s="19"/>
      <c r="X27" s="19"/>
      <c r="Y27" s="19"/>
      <c r="Z27" s="19"/>
      <c r="AA27" s="19"/>
      <c r="AB27" s="19"/>
      <c r="AC27" s="42"/>
      <c r="AD27" s="42"/>
      <c r="AE27" s="19"/>
      <c r="AF27" s="19"/>
      <c r="AG27" s="19"/>
      <c r="AH27" s="19"/>
      <c r="AI27" s="19"/>
      <c r="AJ27" s="19"/>
      <c r="AK27" s="78"/>
      <c r="AL27" s="78"/>
      <c r="AM27" s="19"/>
      <c r="AN27" s="19"/>
      <c r="AO27" s="19"/>
      <c r="AP27" s="19"/>
      <c r="AQ27" s="19"/>
      <c r="AR27" s="19"/>
      <c r="AS27" s="19"/>
      <c r="AT27" s="19"/>
      <c r="AU27" s="19"/>
      <c r="AV27" s="19"/>
      <c r="AW27" s="19"/>
      <c r="AX27" s="19"/>
      <c r="AY27" s="19"/>
      <c r="AZ27" s="19"/>
      <c r="BA27" s="19"/>
      <c r="BB27" s="19"/>
      <c r="BC27" s="19"/>
      <c r="BD27" s="19"/>
      <c r="BE27" s="19"/>
      <c r="BF27" s="19"/>
      <c r="BG27" s="19"/>
      <c r="BH27" s="42"/>
      <c r="BI27" s="19"/>
      <c r="BJ27" s="19"/>
      <c r="BK27" s="19"/>
      <c r="BL27" s="19"/>
      <c r="BM27" s="19"/>
      <c r="BN27" s="19"/>
      <c r="BO27" s="19"/>
      <c r="BP27" s="78"/>
      <c r="BQ27" s="42"/>
      <c r="BR27" s="42"/>
      <c r="BS27" s="42"/>
      <c r="BT27" s="42"/>
      <c r="BU27" s="42"/>
      <c r="BV27" s="42"/>
      <c r="BW27" s="42"/>
      <c r="BX27" s="42"/>
      <c r="BY27" s="42"/>
      <c r="BZ27" s="42"/>
      <c r="CA27" s="42"/>
      <c r="CB27" s="42"/>
      <c r="CC27" s="42"/>
      <c r="CD27" s="42"/>
      <c r="CE27" s="42"/>
      <c r="CF27" s="42"/>
      <c r="CG27" s="74"/>
      <c r="CH27" s="19"/>
      <c r="CI27" s="19"/>
      <c r="CJ27" s="19"/>
      <c r="CK27" s="19"/>
      <c r="CL27" s="19"/>
      <c r="CM27" s="19"/>
      <c r="CN27" s="19"/>
      <c r="CO27" s="71"/>
      <c r="CP27" s="84"/>
      <c r="CQ27"/>
      <c r="CR27"/>
      <c r="CS27"/>
      <c r="CT27"/>
      <c r="CU27"/>
      <c r="CV27"/>
      <c r="CW27"/>
      <c r="CX27"/>
      <c r="CY27"/>
      <c r="CZ27"/>
      <c r="DA27"/>
      <c r="DB27"/>
      <c r="DC27"/>
      <c r="DD27"/>
      <c r="DE27"/>
      <c r="DF27"/>
      <c r="DG27"/>
      <c r="DH27"/>
      <c r="DI27"/>
      <c r="DJ27"/>
      <c r="DK27"/>
      <c r="DL27"/>
      <c r="DM27"/>
      <c r="DN27"/>
      <c r="DO27"/>
      <c r="DP27"/>
      <c r="DQ27"/>
    </row>
    <row r="28" spans="1:121" s="3" customFormat="1" ht="30" customHeight="1" thickBot="1" x14ac:dyDescent="0.3">
      <c r="A28" s="22"/>
      <c r="B28" s="62" t="s">
        <v>37</v>
      </c>
      <c r="C28" s="63"/>
      <c r="D28" s="16">
        <v>1</v>
      </c>
      <c r="E28" s="64">
        <v>45988</v>
      </c>
      <c r="F28" s="64">
        <v>45989</v>
      </c>
      <c r="G28" s="65"/>
      <c r="H28" s="66">
        <f t="shared" si="25"/>
        <v>2</v>
      </c>
      <c r="I28" s="67"/>
      <c r="J28" s="67"/>
      <c r="K28" s="67"/>
      <c r="L28" s="67"/>
      <c r="M28" s="67"/>
      <c r="N28" s="67"/>
      <c r="O28" s="67"/>
      <c r="P28" s="67"/>
      <c r="Q28" s="67"/>
      <c r="R28" s="67"/>
      <c r="S28" s="67"/>
      <c r="T28" s="67"/>
      <c r="U28" s="67"/>
      <c r="V28" s="67"/>
      <c r="W28" s="67"/>
      <c r="X28" s="67"/>
      <c r="Y28" s="67"/>
      <c r="Z28" s="67"/>
      <c r="AA28" s="67"/>
      <c r="AB28" s="67"/>
      <c r="AC28" s="68"/>
      <c r="AD28" s="68"/>
      <c r="AE28" s="67"/>
      <c r="AF28" s="67"/>
      <c r="AG28" s="67"/>
      <c r="AH28" s="67"/>
      <c r="AI28" s="67"/>
      <c r="AJ28" s="67"/>
      <c r="AK28" s="79"/>
      <c r="AL28" s="79"/>
      <c r="AM28" s="67"/>
      <c r="AN28" s="67"/>
      <c r="AO28" s="67"/>
      <c r="AP28" s="67"/>
      <c r="AQ28" s="67"/>
      <c r="AR28" s="67"/>
      <c r="AS28" s="67"/>
      <c r="AT28" s="67"/>
      <c r="AU28" s="67"/>
      <c r="AV28" s="67"/>
      <c r="AW28" s="67"/>
      <c r="AX28" s="67"/>
      <c r="AY28" s="67"/>
      <c r="AZ28" s="67"/>
      <c r="BA28" s="67"/>
      <c r="BB28" s="67"/>
      <c r="BC28" s="67"/>
      <c r="BD28" s="67"/>
      <c r="BE28" s="67"/>
      <c r="BF28" s="67"/>
      <c r="BG28" s="67"/>
      <c r="BH28" s="68"/>
      <c r="BI28" s="67"/>
      <c r="BJ28" s="67"/>
      <c r="BK28" s="67"/>
      <c r="BL28" s="67"/>
      <c r="BM28" s="67"/>
      <c r="BN28" s="67"/>
      <c r="BO28" s="67"/>
      <c r="BP28" s="79"/>
      <c r="BQ28" s="68"/>
      <c r="BR28" s="68"/>
      <c r="BS28" s="68"/>
      <c r="BT28" s="68"/>
      <c r="BU28" s="68"/>
      <c r="BV28" s="68"/>
      <c r="BW28" s="68"/>
      <c r="BX28" s="68"/>
      <c r="BY28" s="68"/>
      <c r="BZ28" s="68"/>
      <c r="CA28" s="68"/>
      <c r="CB28" s="68"/>
      <c r="CC28" s="68"/>
      <c r="CD28" s="68"/>
      <c r="CE28" s="68"/>
      <c r="CF28" s="68"/>
      <c r="CG28" s="75"/>
      <c r="CH28" s="67"/>
      <c r="CI28" s="67"/>
      <c r="CJ28" s="67"/>
      <c r="CK28" s="67"/>
      <c r="CL28" s="67"/>
      <c r="CM28" s="67"/>
      <c r="CN28" s="67"/>
      <c r="CO28" s="81"/>
      <c r="CP28" s="84"/>
      <c r="CQ28"/>
      <c r="CR28"/>
      <c r="CS28"/>
      <c r="CT28"/>
      <c r="CU28"/>
      <c r="CV28"/>
      <c r="CW28"/>
      <c r="CX28"/>
      <c r="CY28"/>
      <c r="CZ28"/>
      <c r="DA28"/>
      <c r="DB28"/>
      <c r="DC28"/>
      <c r="DD28"/>
      <c r="DE28"/>
      <c r="DF28"/>
      <c r="DG28"/>
      <c r="DH28"/>
      <c r="DI28"/>
      <c r="DJ28"/>
      <c r="DK28"/>
      <c r="DL28"/>
      <c r="DM28"/>
      <c r="DN28"/>
      <c r="DO28"/>
      <c r="DP28"/>
      <c r="DQ28"/>
    </row>
    <row r="29" spans="1:121" s="3" customFormat="1" ht="30" customHeight="1" x14ac:dyDescent="0.25">
      <c r="A29" s="22" t="s">
        <v>8</v>
      </c>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row>
    <row r="30" spans="1:121" s="3" customFormat="1" ht="30" customHeight="1" x14ac:dyDescent="0.25">
      <c r="A30" s="22"/>
      <c r="B30"/>
      <c r="C30"/>
      <c r="D30"/>
      <c r="E30" s="5"/>
      <c r="F30"/>
      <c r="G30" s="6"/>
      <c r="H30" s="46"/>
      <c r="I30"/>
      <c r="J30"/>
      <c r="K30"/>
      <c r="L30"/>
      <c r="M30"/>
      <c r="N30"/>
      <c r="O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row>
    <row r="31" spans="1:121" s="3" customFormat="1" ht="30" customHeight="1" x14ac:dyDescent="0.25">
      <c r="A31" s="22"/>
      <c r="B31"/>
      <c r="C31" s="10"/>
      <c r="D31"/>
      <c r="E31" s="5"/>
      <c r="F31" s="24"/>
      <c r="G31"/>
      <c r="H31" s="46"/>
      <c r="I31"/>
      <c r="J31"/>
      <c r="K31"/>
      <c r="L31"/>
      <c r="M31"/>
      <c r="N31"/>
      <c r="O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row>
    <row r="32" spans="1:121" s="3" customFormat="1" ht="30" customHeight="1" x14ac:dyDescent="0.25">
      <c r="A32" s="22"/>
      <c r="B32"/>
      <c r="C32" s="11"/>
      <c r="D32"/>
      <c r="E32" s="5"/>
      <c r="F32"/>
      <c r="G32"/>
      <c r="H32" s="46"/>
      <c r="I32"/>
      <c r="J32"/>
      <c r="K32"/>
      <c r="L32"/>
      <c r="M32"/>
      <c r="N32"/>
      <c r="O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row>
    <row r="33" spans="1:121" s="3" customFormat="1" ht="30" customHeight="1" x14ac:dyDescent="0.25">
      <c r="A33" s="22"/>
      <c r="B33"/>
      <c r="C33"/>
      <c r="D33"/>
      <c r="E33" s="5"/>
      <c r="F33"/>
      <c r="G33"/>
      <c r="H33" s="46"/>
      <c r="I33"/>
      <c r="J33"/>
      <c r="K33"/>
      <c r="L33"/>
      <c r="M33"/>
      <c r="N33"/>
      <c r="O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row>
    <row r="34" spans="1:121" s="3" customFormat="1" ht="30" customHeight="1" x14ac:dyDescent="0.25">
      <c r="A34" s="22"/>
      <c r="B34"/>
      <c r="C34"/>
      <c r="D34"/>
      <c r="E34" s="5"/>
      <c r="F34"/>
      <c r="G34"/>
      <c r="H34" s="46"/>
      <c r="I34"/>
      <c r="J34"/>
      <c r="K34"/>
      <c r="L34"/>
      <c r="M34"/>
      <c r="N34"/>
      <c r="O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row>
    <row r="35" spans="1:121" s="3" customFormat="1" ht="30" customHeight="1" x14ac:dyDescent="0.25">
      <c r="A35" s="22" t="s">
        <v>9</v>
      </c>
      <c r="B35"/>
      <c r="C35"/>
      <c r="D35"/>
      <c r="E35" s="5"/>
      <c r="F35"/>
      <c r="G35"/>
      <c r="H35" s="46"/>
      <c r="I35"/>
      <c r="J35"/>
      <c r="K35"/>
      <c r="L35"/>
      <c r="M35"/>
      <c r="N35"/>
      <c r="O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row>
    <row r="36" spans="1:121" s="3" customFormat="1" ht="30" customHeight="1" x14ac:dyDescent="0.25">
      <c r="A36" s="23"/>
      <c r="B36"/>
      <c r="C36"/>
      <c r="D36"/>
      <c r="E36" s="5"/>
      <c r="F36"/>
      <c r="G36"/>
      <c r="H36" s="46"/>
      <c r="I36"/>
      <c r="J36"/>
      <c r="K36"/>
      <c r="L36"/>
      <c r="M36"/>
      <c r="N36"/>
      <c r="O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row>
  </sheetData>
  <mergeCells count="29">
    <mergeCell ref="I22:CO22"/>
    <mergeCell ref="I14:CO14"/>
    <mergeCell ref="C2:D2"/>
    <mergeCell ref="C3:D3"/>
    <mergeCell ref="E2:F2"/>
    <mergeCell ref="B13:C13"/>
    <mergeCell ref="I3:M3"/>
    <mergeCell ref="N3:R3"/>
    <mergeCell ref="S3:W3"/>
    <mergeCell ref="X3:AB3"/>
    <mergeCell ref="B8:C8"/>
    <mergeCell ref="B9:C9"/>
    <mergeCell ref="B10:C10"/>
    <mergeCell ref="B11:C11"/>
    <mergeCell ref="B12:C12"/>
    <mergeCell ref="CA3:CE3"/>
    <mergeCell ref="CF3:CJ3"/>
    <mergeCell ref="CK3:CO3"/>
    <mergeCell ref="I7:CO7"/>
    <mergeCell ref="BB3:BF3"/>
    <mergeCell ref="BG3:BK3"/>
    <mergeCell ref="BL3:BP3"/>
    <mergeCell ref="BQ3:BU3"/>
    <mergeCell ref="BV3:BZ3"/>
    <mergeCell ref="AC3:AG3"/>
    <mergeCell ref="AH3:AL3"/>
    <mergeCell ref="AM3:AQ3"/>
    <mergeCell ref="AR3:AV3"/>
    <mergeCell ref="AW3:BA3"/>
  </mergeCells>
  <conditionalFormatting sqref="D6:D35">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DP6 I7 CP7:DP7 BQ8:DP9 I8:BP13 BQ10:CH10 CP10:DP10 BQ11:DP12 BQ13:CO13 CP13:DP28 I14 I15:CO21 I22 I23:CO28 BM29:DP34 I29:BL35">
    <cfRule type="expression" dxfId="8" priority="36">
      <formula>AND(TODAY()&gt;=I$4,TODAY()&lt;J$4)</formula>
    </cfRule>
  </conditionalFormatting>
  <conditionalFormatting sqref="I6:DP6 I7 CP7:DP7 BQ8:DP9 I8:BP13 BQ10:CH10 CP10:DP10 BQ11:DP12 BQ13:CO13 CP13:DP28 I14 I15:CO21 I22 I23:CO28 BM29:DP34 I29:BL35">
    <cfRule type="expression" dxfId="7" priority="30">
      <formula>AND(task_start&lt;=I$4,ROUNDDOWN((task_end-task_start+1)*task_progress,0)+task_start-1&gt;=I$4)</formula>
    </cfRule>
    <cfRule type="expression" dxfId="6" priority="31" stopIfTrue="1">
      <formula>AND(task_end&gt;=I$4,task_start&lt;J$4)</formula>
    </cfRule>
  </conditionalFormatting>
  <conditionalFormatting sqref="BW20">
    <cfRule type="expression" dxfId="5" priority="45">
      <formula>AND(TODAY()&gt;=BY$4,TODAY()&lt;BZ$4)</formula>
    </cfRule>
    <cfRule type="expression" dxfId="4" priority="48">
      <formula>AND(task_start&lt;=BY$4,ROUNDDOWN((task_end-task_start+1)*task_progress,0)+task_start-1&gt;=BY$4)</formula>
    </cfRule>
    <cfRule type="expression" dxfId="3" priority="49" stopIfTrue="1">
      <formula>AND(task_end&gt;=BY$4,task_start&lt;BZ$4)</formula>
    </cfRule>
  </conditionalFormatting>
  <conditionalFormatting sqref="CJ10:CO10">
    <cfRule type="expression" dxfId="2" priority="38">
      <formula>AND(TODAY()&gt;=CI$4,TODAY()&lt;CJ$4)</formula>
    </cfRule>
    <cfRule type="expression" dxfId="1" priority="42">
      <formula>AND(task_start&lt;=CI$4,ROUNDDOWN((task_end-task_start+1)*task_progress,0)+task_start-1&gt;=CI$4)</formula>
    </cfRule>
    <cfRule type="expression" dxfId="0" priority="43" stopIfTrue="1">
      <formula>AND(task_end&gt;=CI$4,task_start&lt;CJ$4)</formula>
    </cfRule>
  </conditionalFormatting>
  <dataValidations disablePrompts="1" count="1">
    <dataValidation type="whole" operator="greaterThanOrEqual" allowBlank="1" showInputMessage="1" promptTitle="Mostrar semana" prompt="Al cambiar este número, se desplazará la vista del diagrama de Gantt." sqref="E3"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D6:D35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Carta Gatt</vt:lpstr>
      <vt:lpstr>Inicio_del_proyecto</vt:lpstr>
      <vt:lpstr>Semana_para_mostrar</vt:lpstr>
      <vt:lpstr>'Carta Gatt'!task_end</vt:lpstr>
      <vt:lpstr>'Carta Gatt'!task_progress</vt:lpstr>
      <vt:lpstr>'Carta Gatt'!task_start</vt:lpstr>
      <vt:lpstr>'Carta Gatt'!Títulos_a_imprimir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2025-12-03T04:45:15Z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