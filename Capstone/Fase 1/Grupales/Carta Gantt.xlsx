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filterPrivacy="1" codeName="ThisWorkbook"/>
  <xr:revisionPtr revIDLastSave="0" documentId="13_ncr:1_{A4A5F67B-6640-40E9-A377-DE20AD1550A0}" xr6:coauthVersionLast="47" xr6:coauthVersionMax="47" xr10:uidLastSave="{00000000-0000-0000-0000-000000000000}"/>
  <bookViews>
    <workbookView xWindow="-120" yWindow="-120" windowWidth="29040" windowHeight="15720" xr2:uid="{00000000-000D-0000-FFFF-FFFF00000000}"/>
  </bookViews>
  <sheets>
    <sheet name="Carta Gatt" sheetId="11" r:id="rId1"/>
  </sheets>
  <definedNames>
    <definedName name="hoy" localSheetId="0">TODAY()</definedName>
    <definedName name="Inicio_del_proyecto">'Carta Gatt'!$E$2</definedName>
    <definedName name="Semana_para_mostrar">'Carta Gatt'!$E$3</definedName>
    <definedName name="task_end" localSheetId="0">'Carta Gatt'!$F1</definedName>
    <definedName name="task_progress" localSheetId="0">'Carta Gatt'!$D1</definedName>
    <definedName name="task_start" localSheetId="0">'Carta Gatt'!$E1</definedName>
    <definedName name="_xlnm.Print_Titles" localSheetId="0">'Carta Gatt'!$3:$5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57" i="11" l="1"/>
  <c r="H45" i="11"/>
  <c r="H47" i="11"/>
  <c r="H48" i="11"/>
  <c r="H49" i="11"/>
  <c r="H55" i="11"/>
  <c r="H56" i="11"/>
  <c r="H59" i="11"/>
  <c r="H60" i="11"/>
  <c r="H61" i="11"/>
  <c r="H62" i="11"/>
  <c r="H63" i="11"/>
  <c r="H64" i="11"/>
  <c r="F13" i="11"/>
  <c r="F12" i="11"/>
  <c r="F11" i="11"/>
  <c r="H9" i="11"/>
  <c r="E2" i="11" l="1"/>
  <c r="H6" i="11"/>
  <c r="H8" i="11" l="1"/>
  <c r="K4" i="11"/>
  <c r="AA4" i="11"/>
  <c r="AQ4" i="11"/>
  <c r="BG4" i="11"/>
  <c r="BW4" i="11"/>
  <c r="O4" i="11"/>
  <c r="AC4" i="11"/>
  <c r="AS4" i="11"/>
  <c r="BY4" i="11"/>
  <c r="Q4" i="11"/>
  <c r="AD4" i="11"/>
  <c r="AT4" i="11"/>
  <c r="AT3" i="11" s="1"/>
  <c r="BZ4" i="11"/>
  <c r="AU4" i="11"/>
  <c r="S4" i="11"/>
  <c r="AF4" i="11"/>
  <c r="AV4" i="11"/>
  <c r="CB4" i="11"/>
  <c r="BM4" i="11"/>
  <c r="U4" i="11"/>
  <c r="U3" i="11" s="1"/>
  <c r="AH4" i="11"/>
  <c r="AX4" i="11"/>
  <c r="BN4" i="11"/>
  <c r="BN3" i="11" s="1"/>
  <c r="V4" i="11"/>
  <c r="AI4" i="11"/>
  <c r="AY4" i="11"/>
  <c r="AY3" i="11" s="1"/>
  <c r="BO4" i="11"/>
  <c r="W4" i="11"/>
  <c r="AJ4" i="11"/>
  <c r="AJ3" i="11" s="1"/>
  <c r="AZ4" i="11"/>
  <c r="BP4" i="11"/>
  <c r="X4" i="11"/>
  <c r="BQ4" i="11"/>
  <c r="AL4" i="11"/>
  <c r="BB4" i="11"/>
  <c r="BR4" i="11"/>
  <c r="I4" i="11"/>
  <c r="I3" i="11" s="1"/>
  <c r="BC4" i="11"/>
  <c r="AN4" i="11"/>
  <c r="BD4" i="11"/>
  <c r="BD3" i="11" s="1"/>
  <c r="BT4" i="11"/>
  <c r="L4" i="11"/>
  <c r="Y4" i="11"/>
  <c r="BE4" i="11"/>
  <c r="Z4" i="11"/>
  <c r="Z3" i="11" s="1"/>
  <c r="BF4" i="11"/>
  <c r="N4" i="11"/>
  <c r="AB4" i="11"/>
  <c r="AR4" i="11"/>
  <c r="BH4" i="11"/>
  <c r="BX4" i="11"/>
  <c r="BX3" i="11" s="1"/>
  <c r="P4" i="11"/>
  <c r="BI4" i="11"/>
  <c r="BI3" i="11" s="1"/>
  <c r="BJ4" i="11"/>
  <c r="R4" i="11"/>
  <c r="AE4" i="11"/>
  <c r="AE3" i="11" s="1"/>
  <c r="BK4" i="11"/>
  <c r="CA4" i="11"/>
  <c r="BL4" i="11"/>
  <c r="T4" i="11"/>
  <c r="AG4" i="11"/>
  <c r="AW4" i="11"/>
  <c r="CC4" i="11"/>
  <c r="CC3" i="11" s="1"/>
  <c r="CD4" i="11"/>
  <c r="CE4" i="11"/>
  <c r="CF4" i="11"/>
  <c r="AK4" i="11"/>
  <c r="BA4" i="11"/>
  <c r="CG4" i="11"/>
  <c r="J4" i="11"/>
  <c r="AM4" i="11"/>
  <c r="BS4" i="11"/>
  <c r="BS3" i="11" s="1"/>
  <c r="AO4" i="11"/>
  <c r="AO3" i="11" s="1"/>
  <c r="BU4" i="11"/>
  <c r="M4" i="11"/>
  <c r="AP4" i="11"/>
  <c r="BV4" i="11"/>
  <c r="H68" i="11"/>
  <c r="H67" i="11"/>
  <c r="H66" i="11"/>
  <c r="H65" i="11"/>
  <c r="H32" i="11"/>
  <c r="H7" i="11"/>
  <c r="I5" i="11" l="1"/>
  <c r="J5" i="11" l="1"/>
  <c r="H17" i="11"/>
  <c r="H34" i="11" l="1"/>
  <c r="K5" i="11"/>
  <c r="H11" i="11"/>
  <c r="H14" i="11"/>
  <c r="L5" i="11" l="1"/>
  <c r="N5" i="11" l="1"/>
  <c r="M5" i="11"/>
  <c r="O5" i="11" l="1"/>
  <c r="P3" i="11" l="1"/>
  <c r="P5" i="11" l="1"/>
  <c r="Q5" i="11" l="1"/>
  <c r="R5" i="11" l="1"/>
  <c r="S5" i="11" l="1"/>
  <c r="T5" i="11" l="1"/>
  <c r="U5" i="11" l="1"/>
  <c r="V5" i="11"/>
  <c r="W5" i="11" l="1"/>
  <c r="X5" i="11" l="1"/>
  <c r="Y5" i="11" l="1"/>
  <c r="AS5" i="11" l="1"/>
  <c r="AT5" i="11" l="1"/>
  <c r="Z5" i="11"/>
  <c r="AA5" i="11"/>
  <c r="AU5" i="11" l="1"/>
  <c r="AB5" i="11"/>
  <c r="AV5" i="11" l="1"/>
  <c r="AC5" i="11"/>
  <c r="AW5" i="11" l="1"/>
  <c r="AD5" i="11"/>
  <c r="AX5" i="11" l="1"/>
  <c r="AE5" i="11"/>
  <c r="AY5" i="11" l="1"/>
  <c r="AF5" i="11"/>
  <c r="AZ5" i="11" l="1"/>
  <c r="AG5" i="11"/>
  <c r="BA5" i="11" l="1"/>
  <c r="AH5" i="11"/>
  <c r="BB5" i="11" l="1"/>
  <c r="AI5" i="11"/>
  <c r="BC5" i="11" l="1"/>
  <c r="AJ5" i="11"/>
  <c r="BD5" i="11" l="1"/>
  <c r="AK5" i="11"/>
  <c r="BE5" i="11" l="1"/>
  <c r="AL5" i="11"/>
  <c r="BF5" i="11" l="1"/>
  <c r="AM5" i="11"/>
  <c r="BG5" i="11" l="1"/>
  <c r="AN5" i="11"/>
  <c r="BH5" i="11" l="1"/>
  <c r="AO5" i="11"/>
  <c r="BI5" i="11" l="1"/>
  <c r="AP5" i="11"/>
  <c r="BJ5" i="11" l="1"/>
  <c r="AQ5" i="11"/>
  <c r="BK5" i="11" l="1"/>
  <c r="AR5" i="11"/>
  <c r="BL5" i="11" l="1"/>
  <c r="BM5" i="11" l="1"/>
  <c r="BN5" i="11" l="1"/>
  <c r="BO5" i="11" l="1"/>
  <c r="BP5" i="11" l="1"/>
  <c r="BQ5" i="11" l="1"/>
  <c r="BR5" i="11" l="1"/>
  <c r="BS5" i="11" l="1"/>
  <c r="BT5" i="11" l="1"/>
  <c r="BU5" i="11" l="1"/>
  <c r="BV5" i="11" l="1"/>
  <c r="BW5" i="11" l="1"/>
  <c r="BX5" i="11" l="1"/>
  <c r="BY5" i="11" l="1"/>
  <c r="BZ5" i="11" l="1"/>
  <c r="CA5" i="11" l="1"/>
  <c r="CB5" i="11" l="1"/>
  <c r="CC5" i="11" l="1"/>
  <c r="CD5" i="11" l="1"/>
  <c r="CE5" i="11" l="1"/>
  <c r="CF5" i="11" l="1"/>
  <c r="CG5" i="11" l="1"/>
</calcChain>
</file>

<file path=xl/sharedStrings.xml><?xml version="1.0" encoding="utf-8"?>
<sst xmlns="http://schemas.openxmlformats.org/spreadsheetml/2006/main" count="77" uniqueCount="76">
  <si>
    <t>Cree una programación para un proyecto en esta hoja de cálculo.
Escriba el título de este proyecto en la celda B1. 
Para obtener información sobre cómo usar esta hoja de cálculo, incluidas las instrucciones para lectores de pantalla y el nombre del autor de este libro, vea la hoja de cálculo Información.
Desplácese hacia abajo por la columna A para escuchar más instrucciones.</t>
  </si>
  <si>
    <t>Escriba el nombre del responsable del proyecto en la celda B3. Escriba la fecha de comienzo del proyecto en la celda E3. Inicio del proyecto: la etiqueta se encuentra en la celda C3.</t>
  </si>
  <si>
    <t>La semana que se muestra en la celda E4 representa la semana inicial para mostrar en la programación del proyecto en la celda I4. La fecha de inicio del proyecto se considera la semana 1. Para cambiar semana que se muestra, simplemente escriba un número de semana nuevo en la celda E4.
La fecha de inicio de cada semana, comenzando por la semana mostrada en la celda E4, comienza en la celda I4 y se calcula automáticamente. Hay 8 semanas representadas en esta vista desde la celda I4 hasta la celda BF4.
No debería modificar estas celdas.
La etiqueta de la semana para mostrar se encuentra en la celda C4.</t>
  </si>
  <si>
    <t>Las celdas I5 a BL5 contienen el número de días de la semana representado en el bloque de celdas encima de cada celda de fecha y se calculan automáticamente.
No debería modificar estas celdas.
La fecha actual está rodeada con una línea roja (hex. AD3815) desde la fecha actual en la fila 5 hasta toda la columna de fechas y el fin de la programación del proyecto.</t>
  </si>
  <si>
    <t>Esta fila contiene los encabezados de la programación del proyecto posterior debajo de estos. 
Navegue desde la celda B6 a BL 6 para escuchar el contenido. La primera letra de cada día de la semana de la fecha encima de ese encabezado empieza en la celda I6 y continúa hasta la celda BL6.
Todo el gráficos de escala de tiempo del proyecto está generados automáticamente en función de las fechas de inicio y finalización especificadas, con formatos condicionales.
No modifique el contenido de las celdas en las columnas después de la columna I comenzando por la celda I7.</t>
  </si>
  <si>
    <t xml:space="preserve">No elimine esta fila. Esta fila está oculta para conservar una fórmula que se usa para resaltar el día actual dentro de la programación del proyecto. </t>
  </si>
  <si>
    <t>Las filas de la 10 a la 13 repiten el patrón de la fila 9. 
Repita las instrucciones de la celda A9 para todas las filas de tareas en esta hoja de cálculo. Sobrescriba los datos de ejemplo.
Un ejemplo de otra fase empieza en la celda A14. 
Continue escribiendo tareas en las celdas de la A10 a la A13 o vaya a la celda A14 para obtener más información.</t>
  </si>
  <si>
    <t>La celda a la derecha contiene el título de ejemplo de la Fase 2. 
Puede crear una nueva fase en cualquier momento en la columna B. Esta programación de proyecto no necesita fases. Para quitar la fase, basta con eliminar la fila.
Para crear un bloque de fase nuevo en esta fila, escriba un nuevo título en la celda a la derecha.
Para continuar agregando tareas a la fase anterior, escriba una nueva fila encima de esta y rellene los datos de la tarea como se explica en la celda A9.
Actualice los detalles de la fase en la celda a la derecha como se explica en la celda A8.
Continúe navegando por las celdas de la columna A para obtener más información.
Si no ha agregado nuevas filas en esta hoja de cálculo, verá que se han creado automáticamente 2 bloques de fase de ejemplo adicionales en las celdas B20 y B26. En caso contrario, desplácese por las celdas de la columna A para buscar los bloques adicionales. 
Repita las instrucciones de las celdas A8 y A9 cuando lo necesite.</t>
  </si>
  <si>
    <t>Bloque de título fase de ejemplo</t>
  </si>
  <si>
    <t>Esta es una fila vacía.</t>
  </si>
  <si>
    <t>TAREA</t>
  </si>
  <si>
    <t>Inicio del proyecto:</t>
  </si>
  <si>
    <t>Semana para mostrar:</t>
  </si>
  <si>
    <t>ASIGNADO
A</t>
  </si>
  <si>
    <t>PROGRESO</t>
  </si>
  <si>
    <t>INICIO</t>
  </si>
  <si>
    <t>FIN</t>
  </si>
  <si>
    <t>DÍAS</t>
  </si>
  <si>
    <t>Yourmeds</t>
  </si>
  <si>
    <t>1. Fase 1</t>
  </si>
  <si>
    <t>1.1 Definición proyecto APT</t>
  </si>
  <si>
    <t xml:space="preserve">    1.1.1  Descripción proyecto APT</t>
  </si>
  <si>
    <t>1.2. Creación de Backlog</t>
  </si>
  <si>
    <t>1.3. Planificación del levantamiento</t>
  </si>
  <si>
    <t>1.4. Creación historias de usuarios</t>
  </si>
  <si>
    <t xml:space="preserve">    1.4.1 Estimación de historias de usuarios</t>
  </si>
  <si>
    <t xml:space="preserve">    1.4.2 Comprometer historias de usuarios</t>
  </si>
  <si>
    <t>1.5. Identificación de tareas</t>
  </si>
  <si>
    <t xml:space="preserve">    1.5.1 Estimación de tareas</t>
  </si>
  <si>
    <t>1.6. Creación de spring backlog</t>
  </si>
  <si>
    <t>1.7. Analisis y diseño tecnico</t>
  </si>
  <si>
    <t>2. Fase 2</t>
  </si>
  <si>
    <t xml:space="preserve">2.3 Pruebas </t>
  </si>
  <si>
    <t>3. Fase 3</t>
  </si>
  <si>
    <t>2.4 Despliegue en la nube</t>
  </si>
  <si>
    <t>2.1 Desarrollo Frontend</t>
  </si>
  <si>
    <t>2.2 Desarrollo Backend</t>
  </si>
  <si>
    <t xml:space="preserve">    2.1.1 Diseño de interfaces</t>
  </si>
  <si>
    <t xml:space="preserve">    2.1.3 Validación de flujo de usuario</t>
  </si>
  <si>
    <t xml:space="preserve">    2.1.2 Implementación del flujo de interfaces</t>
  </si>
  <si>
    <t xml:space="preserve">    2.3.1 Pruebas unitarias</t>
  </si>
  <si>
    <t xml:space="preserve">    2.3.2 Pruebas de usabilidad</t>
  </si>
  <si>
    <t xml:space="preserve">    1.7.2 Refinación de backlog</t>
  </si>
  <si>
    <t xml:space="preserve">    1.7.3 Diseño de mockups</t>
  </si>
  <si>
    <t xml:space="preserve">    2.4.1 Implementación con docker</t>
  </si>
  <si>
    <t xml:space="preserve">    2.4.3 Integración base de datos desplegada</t>
  </si>
  <si>
    <t xml:space="preserve">    2.4.2 Desplegar aplicación</t>
  </si>
  <si>
    <t xml:space="preserve">    1.7.1  Captura y Analisis de requimientos</t>
  </si>
  <si>
    <t xml:space="preserve">  2.1 Implementación ambiente de desarrollo</t>
  </si>
  <si>
    <t>3.1 Fase cierre del proyecto</t>
  </si>
  <si>
    <t>3.1.4 Acta cierre de proyecto</t>
  </si>
  <si>
    <t>3.1.1  Desarrollo de manuales de usuario</t>
  </si>
  <si>
    <t xml:space="preserve"> </t>
  </si>
  <si>
    <t>x</t>
  </si>
  <si>
    <t xml:space="preserve">    2.1.5 Simulación de datos </t>
  </si>
  <si>
    <t xml:space="preserve">    2.1.6 Integración con Backend</t>
  </si>
  <si>
    <t xml:space="preserve">    2.1.4 Entregable informe de validación </t>
  </si>
  <si>
    <t xml:space="preserve">    2.3.3 Entregable Reporte de pruebas</t>
  </si>
  <si>
    <t>3.1.3 Marcha blanca</t>
  </si>
  <si>
    <t>3.2.4 Capacitación</t>
  </si>
  <si>
    <t>3.1.2 Entregable manual de usuario en y guia de uso en pdf</t>
  </si>
  <si>
    <t>1.7.4 Diseño de base de datos</t>
  </si>
  <si>
    <t>1.7.5 Arquitecura</t>
  </si>
  <si>
    <t xml:space="preserve">    2.2.1  Diseño de arquitectura backend</t>
  </si>
  <si>
    <t xml:space="preserve">    2.2.2  Integración backend–base de datos</t>
  </si>
  <si>
    <t xml:space="preserve">    2.2.3  Desarrollo de endpoints (registro, login, alarmas, etc.)</t>
  </si>
  <si>
    <t xml:space="preserve">    2.2.4  Encriptación de contraseñas</t>
  </si>
  <si>
    <t xml:space="preserve">    2.2.5  Autentificador de Inicio de Sesión al Sistema</t>
  </si>
  <si>
    <t xml:space="preserve">    1.1.2 Fundamentación</t>
  </si>
  <si>
    <t xml:space="preserve">    1.1.3 Objetivos</t>
  </si>
  <si>
    <t xml:space="preserve"> 1.1.4 Metodología</t>
  </si>
  <si>
    <t xml:space="preserve"> 1.1.5 Roles y Responsabilidades</t>
  </si>
  <si>
    <r>
      <rPr>
        <sz val="11"/>
        <color theme="1"/>
        <rFont val="Calibri"/>
        <family val="2"/>
        <scheme val="minor"/>
      </rPr>
      <t xml:space="preserve"> 1.1.6 Evidencias</t>
    </r>
    <r>
      <rPr>
        <b/>
        <sz val="11"/>
        <color theme="1"/>
        <rFont val="Calibri"/>
        <family val="2"/>
        <scheme val="minor"/>
      </rPr>
      <t xml:space="preserve"> -</t>
    </r>
    <r>
      <rPr>
        <sz val="11"/>
        <color theme="1"/>
        <rFont val="Calibri"/>
        <family val="2"/>
        <scheme val="minor"/>
      </rPr>
      <t xml:space="preserve">  Acta de reunión</t>
    </r>
  </si>
  <si>
    <t xml:space="preserve"> 1.1.7 Plan de trabajo</t>
  </si>
  <si>
    <t xml:space="preserve"> 1.1.8 Carta Gantt</t>
  </si>
  <si>
    <t xml:space="preserve">    1.4.3 Entregable Historias de usuarios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</si>
</sst>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164" formatCode="_-* #,##0\ &quot;€&quot;_-;\-* #,##0\ &quot;€&quot;_-;_-* &quot;-&quot;\ &quot;€&quot;_-;_-@_-"/>
    <numFmt numFmtId="165" formatCode="_-* #,##0.00\ &quot;€&quot;_-;\-* #,##0.00\ &quot;€&quot;_-;_-* &quot;-&quot;??\ &quot;€&quot;_-;_-@_-"/>
    <numFmt numFmtId="166" formatCode="_(* #,##0_);_(* \(#,##0\);_(* &quot;-&quot;_);_(@_)"/>
    <numFmt numFmtId="167" formatCode="_(* #,##0.00_);_(* \(#,##0.00\);_(* &quot;-&quot;??_);_(@_)"/>
    <numFmt numFmtId="168" formatCode="ddd\,\ m/d/yyyy"/>
    <numFmt numFmtId="169" formatCode="[$-C0A]d\ &quot;de&quot;\ mmmm\ &quot;de&quot;\ yyyy;@"/>
    <numFmt numFmtId="170" formatCode="d\-m\-yy;@"/>
    <numFmt numFmtId="171" formatCode="d"/>
  </numFmts>
  <fonts count="30" x14ac:knownFonts="1">
    <font>
      <sz val="11"/>
      <color theme="1"/>
      <name val="Calibri"/>
      <family val="2"/>
      <scheme val="minor"/>
    </font>
    <font>
      <b/>
      <sz val="20"/>
      <color theme="4" tint="-0.249977111117893"/>
      <name val="Calibri"/>
      <family val="2"/>
      <scheme val="major"/>
    </font>
    <font>
      <sz val="10"/>
      <name val="Calibri"/>
      <family val="2"/>
      <scheme val="minor"/>
    </font>
    <font>
      <u/>
      <sz val="11"/>
      <color indexed="12"/>
      <name val="Arial"/>
      <family val="2"/>
    </font>
    <font>
      <sz val="10"/>
      <color theme="1" tint="0.499984740745262"/>
      <name val="Calibri"/>
      <family val="2"/>
      <scheme val="minor"/>
    </font>
    <font>
      <sz val="11"/>
      <name val="Calibri"/>
      <family val="2"/>
      <scheme val="minor"/>
    </font>
    <font>
      <b/>
      <sz val="11"/>
      <color theme="1"/>
      <name val="Calibri"/>
      <family val="2"/>
      <scheme val="minor"/>
    </font>
    <font>
      <b/>
      <sz val="9"/>
      <color theme="0"/>
      <name val="Calibri"/>
      <family val="2"/>
      <scheme val="minor"/>
    </font>
    <font>
      <i/>
      <sz val="9"/>
      <color theme="1"/>
      <name val="Calibri"/>
      <family val="2"/>
      <scheme val="minor"/>
    </font>
    <font>
      <sz val="11"/>
      <color theme="1"/>
      <name val="Calibri"/>
      <family val="2"/>
      <scheme val="minor"/>
    </font>
    <font>
      <sz val="14"/>
      <color theme="1"/>
      <name val="Calibri"/>
      <family val="2"/>
      <scheme val="minor"/>
    </font>
    <font>
      <sz val="9"/>
      <name val="Calibri"/>
      <family val="2"/>
      <scheme val="minor"/>
    </font>
    <font>
      <sz val="8"/>
      <color theme="0"/>
      <name val="Calibri"/>
      <family val="2"/>
      <scheme val="minor"/>
    </font>
    <font>
      <b/>
      <sz val="22"/>
      <color theme="1" tint="0.34998626667073579"/>
      <name val="Calibri"/>
      <family val="2"/>
      <scheme val="major"/>
    </font>
    <font>
      <b/>
      <sz val="11"/>
      <color theme="1" tint="0.499984740745262"/>
      <name val="Calibri"/>
      <family val="2"/>
      <scheme val="minor"/>
    </font>
    <font>
      <sz val="10"/>
      <color theme="1" tint="0.499984740745262"/>
      <name val="Arial"/>
      <family val="2"/>
    </font>
    <font>
      <sz val="11"/>
      <color theme="0"/>
      <name val="Calibri"/>
      <family val="2"/>
      <scheme val="minor"/>
    </font>
    <font>
      <b/>
      <sz val="11"/>
      <name val="Calibri"/>
      <family val="2"/>
      <scheme val="minor"/>
    </font>
    <font>
      <u/>
      <sz val="11"/>
      <color theme="11"/>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indexed="64"/>
      </patternFill>
    </fill>
    <fill>
      <patternFill patternType="solid">
        <fgColor theme="9" tint="0.39997558519241921"/>
        <bgColor indexed="64"/>
      </patternFill>
    </fill>
    <fill>
      <patternFill patternType="solid">
        <fgColor theme="3" tint="0.79998168889431442"/>
        <bgColor indexed="64"/>
      </patternFill>
    </fill>
    <fill>
      <patternFill patternType="solid">
        <fgColor theme="3" tint="0.59999389629810485"/>
        <bgColor indexed="64"/>
      </patternFill>
    </fill>
    <fill>
      <patternFill patternType="solid">
        <fgColor rgb="FFC00000"/>
        <bgColor indexed="64"/>
      </patternFill>
    </fill>
  </fills>
  <borders count="19">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theme="0" tint="-0.14993743705557422"/>
      </left>
      <right/>
      <top style="medium">
        <color theme="0" tint="-0.14996795556505021"/>
      </top>
      <bottom style="medium">
        <color theme="0" tint="-0.14996795556505021"/>
      </bottom>
      <diagonal/>
    </border>
    <border>
      <left/>
      <right style="thin">
        <color theme="0" tint="-0.14993743705557422"/>
      </right>
      <top style="medium">
        <color theme="0" tint="-0.14996795556505021"/>
      </top>
      <bottom style="medium">
        <color theme="0" tint="-0.14996795556505021"/>
      </bottom>
      <diagonal/>
    </border>
  </borders>
  <cellStyleXfs count="54">
    <xf numFmtId="0" fontId="0" fillId="0" borderId="0"/>
    <xf numFmtId="0" fontId="3" fillId="0" borderId="0" applyNumberFormat="0" applyFill="0" applyBorder="0" applyAlignment="0" applyProtection="0">
      <alignment vertical="top"/>
      <protection locked="0"/>
    </xf>
    <xf numFmtId="9" fontId="9" fillId="0" borderId="0" applyFont="0" applyFill="0" applyBorder="0" applyAlignment="0" applyProtection="0"/>
    <xf numFmtId="0" fontId="16" fillId="0" borderId="0"/>
    <xf numFmtId="167" fontId="9" fillId="0" borderId="3" applyFont="0" applyFill="0" applyAlignment="0" applyProtection="0"/>
    <xf numFmtId="0" fontId="13" fillId="0" borderId="0" applyNumberFormat="0" applyFill="0" applyBorder="0" applyAlignment="0" applyProtection="0"/>
    <xf numFmtId="0" fontId="10" fillId="0" borderId="0" applyNumberFormat="0" applyFill="0" applyAlignment="0" applyProtection="0"/>
    <xf numFmtId="0" fontId="10" fillId="0" borderId="0" applyNumberFormat="0" applyFill="0" applyProtection="0">
      <alignment vertical="top"/>
    </xf>
    <xf numFmtId="0" fontId="9" fillId="0" borderId="0" applyNumberFormat="0" applyFill="0" applyProtection="0">
      <alignment horizontal="right" indent="1"/>
    </xf>
    <xf numFmtId="168" fontId="9" fillId="0" borderId="3">
      <alignment horizontal="center" vertical="center"/>
    </xf>
    <xf numFmtId="170" fontId="9" fillId="0" borderId="2" applyFill="0">
      <alignment horizontal="center" vertical="center"/>
    </xf>
    <xf numFmtId="0" fontId="9" fillId="0" borderId="2" applyFill="0">
      <alignment horizontal="center" vertical="center"/>
    </xf>
    <xf numFmtId="0" fontId="9" fillId="0" borderId="2" applyFill="0">
      <alignment horizontal="left" vertical="center" indent="2"/>
    </xf>
    <xf numFmtId="0" fontId="18" fillId="0" borderId="0" applyNumberFormat="0" applyFill="0" applyBorder="0" applyAlignment="0" applyProtection="0"/>
    <xf numFmtId="166" fontId="9" fillId="0" borderId="0" applyFont="0" applyFill="0" applyBorder="0" applyAlignment="0" applyProtection="0"/>
    <xf numFmtId="165" fontId="9" fillId="0" borderId="0" applyFont="0" applyFill="0" applyBorder="0" applyAlignment="0" applyProtection="0"/>
    <xf numFmtId="164" fontId="9" fillId="0" borderId="0" applyFont="0" applyFill="0" applyBorder="0" applyAlignment="0" applyProtection="0"/>
    <xf numFmtId="0" fontId="19" fillId="0" borderId="0" applyNumberFormat="0" applyFill="0" applyBorder="0" applyAlignment="0" applyProtection="0"/>
    <xf numFmtId="0" fontId="20" fillId="11" borderId="0" applyNumberFormat="0" applyBorder="0" applyAlignment="0" applyProtection="0"/>
    <xf numFmtId="0" fontId="21" fillId="12" borderId="0" applyNumberFormat="0" applyBorder="0" applyAlignment="0" applyProtection="0"/>
    <xf numFmtId="0" fontId="22" fillId="13" borderId="0" applyNumberFormat="0" applyBorder="0" applyAlignment="0" applyProtection="0"/>
    <xf numFmtId="0" fontId="23" fillId="14" borderId="11" applyNumberFormat="0" applyAlignment="0" applyProtection="0"/>
    <xf numFmtId="0" fontId="24" fillId="15" borderId="12" applyNumberFormat="0" applyAlignment="0" applyProtection="0"/>
    <xf numFmtId="0" fontId="25" fillId="15" borderId="11" applyNumberFormat="0" applyAlignment="0" applyProtection="0"/>
    <xf numFmtId="0" fontId="26" fillId="0" borderId="13" applyNumberFormat="0" applyFill="0" applyAlignment="0" applyProtection="0"/>
    <xf numFmtId="0" fontId="27" fillId="16" borderId="14" applyNumberFormat="0" applyAlignment="0" applyProtection="0"/>
    <xf numFmtId="0" fontId="28" fillId="0" borderId="0" applyNumberFormat="0" applyFill="0" applyBorder="0" applyAlignment="0" applyProtection="0"/>
    <xf numFmtId="0" fontId="9" fillId="17" borderId="15" applyNumberFormat="0" applyFont="0" applyAlignment="0" applyProtection="0"/>
    <xf numFmtId="0" fontId="29" fillId="0" borderId="0" applyNumberFormat="0" applyFill="0" applyBorder="0" applyAlignment="0" applyProtection="0"/>
    <xf numFmtId="0" fontId="6" fillId="0" borderId="16" applyNumberFormat="0" applyFill="0" applyAlignment="0" applyProtection="0"/>
    <xf numFmtId="0" fontId="16" fillId="18" borderId="0" applyNumberFormat="0" applyBorder="0" applyAlignment="0" applyProtection="0"/>
    <xf numFmtId="0" fontId="9" fillId="19" borderId="0" applyNumberFormat="0" applyBorder="0" applyAlignment="0" applyProtection="0"/>
    <xf numFmtId="0" fontId="9" fillId="20" borderId="0" applyNumberFormat="0" applyBorder="0" applyAlignment="0" applyProtection="0"/>
    <xf numFmtId="0" fontId="9" fillId="21" borderId="0" applyNumberFormat="0" applyBorder="0" applyAlignment="0" applyProtection="0"/>
    <xf numFmtId="0" fontId="16" fillId="22" borderId="0" applyNumberFormat="0" applyBorder="0" applyAlignment="0" applyProtection="0"/>
    <xf numFmtId="0" fontId="9" fillId="23" borderId="0" applyNumberFormat="0" applyBorder="0" applyAlignment="0" applyProtection="0"/>
    <xf numFmtId="0" fontId="9" fillId="24" borderId="0" applyNumberFormat="0" applyBorder="0" applyAlignment="0" applyProtection="0"/>
    <xf numFmtId="0" fontId="9" fillId="25" borderId="0" applyNumberFormat="0" applyBorder="0" applyAlignment="0" applyProtection="0"/>
    <xf numFmtId="0" fontId="16" fillId="26" borderId="0" applyNumberFormat="0" applyBorder="0" applyAlignment="0" applyProtection="0"/>
    <xf numFmtId="0" fontId="9" fillId="27" borderId="0" applyNumberFormat="0" applyBorder="0" applyAlignment="0" applyProtection="0"/>
    <xf numFmtId="0" fontId="9" fillId="28" borderId="0" applyNumberFormat="0" applyBorder="0" applyAlignment="0" applyProtection="0"/>
    <xf numFmtId="0" fontId="9" fillId="29" borderId="0" applyNumberFormat="0" applyBorder="0" applyAlignment="0" applyProtection="0"/>
    <xf numFmtId="0" fontId="16" fillId="30" borderId="0" applyNumberFormat="0" applyBorder="0" applyAlignment="0" applyProtection="0"/>
    <xf numFmtId="0" fontId="9" fillId="31" borderId="0" applyNumberFormat="0" applyBorder="0" applyAlignment="0" applyProtection="0"/>
    <xf numFmtId="0" fontId="9" fillId="32" borderId="0" applyNumberFormat="0" applyBorder="0" applyAlignment="0" applyProtection="0"/>
    <xf numFmtId="0" fontId="9" fillId="33" borderId="0" applyNumberFormat="0" applyBorder="0" applyAlignment="0" applyProtection="0"/>
    <xf numFmtId="0" fontId="16" fillId="34" borderId="0" applyNumberFormat="0" applyBorder="0" applyAlignment="0" applyProtection="0"/>
    <xf numFmtId="0" fontId="9" fillId="35" borderId="0" applyNumberFormat="0" applyBorder="0" applyAlignment="0" applyProtection="0"/>
    <xf numFmtId="0" fontId="9" fillId="36" borderId="0" applyNumberFormat="0" applyBorder="0" applyAlignment="0" applyProtection="0"/>
    <xf numFmtId="0" fontId="9" fillId="37" borderId="0" applyNumberFormat="0" applyBorder="0" applyAlignment="0" applyProtection="0"/>
    <xf numFmtId="0" fontId="16" fillId="38" borderId="0" applyNumberFormat="0" applyBorder="0" applyAlignment="0" applyProtection="0"/>
    <xf numFmtId="0" fontId="9" fillId="39" borderId="0" applyNumberFormat="0" applyBorder="0" applyAlignment="0" applyProtection="0"/>
    <xf numFmtId="0" fontId="9" fillId="40" borderId="0" applyNumberFormat="0" applyBorder="0" applyAlignment="0" applyProtection="0"/>
    <xf numFmtId="0" fontId="9" fillId="41" borderId="0" applyNumberFormat="0" applyBorder="0" applyAlignment="0" applyProtection="0"/>
  </cellStyleXfs>
  <cellXfs count="134">
    <xf numFmtId="0" fontId="0" fillId="0" borderId="0" xfId="0"/>
    <xf numFmtId="0" fontId="1" fillId="0" borderId="0" xfId="0" applyFont="1" applyAlignment="1">
      <alignment horizontal="left"/>
    </xf>
    <xf numFmtId="0" fontId="2" fillId="0" borderId="0" xfId="0" applyFont="1"/>
    <xf numFmtId="0" fontId="0" fillId="0" borderId="0" xfId="0" applyAlignment="1">
      <alignment vertical="center"/>
    </xf>
    <xf numFmtId="0" fontId="2" fillId="0" borderId="0" xfId="0" applyFont="1" applyAlignment="1">
      <alignment horizont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7" fillId="10" borderId="1" xfId="0" applyFont="1" applyFill="1" applyBorder="1" applyAlignment="1">
      <alignment horizontal="left" vertical="center" indent="1"/>
    </xf>
    <xf numFmtId="0" fontId="7" fillId="10" borderId="1" xfId="0" applyFont="1" applyFill="1" applyBorder="1" applyAlignment="1">
      <alignment horizontal="center" vertical="center" wrapText="1"/>
    </xf>
    <xf numFmtId="0" fontId="12" fillId="9" borderId="8" xfId="0" applyFont="1" applyFill="1" applyBorder="1" applyAlignment="1">
      <alignment horizontal="center" vertical="center" shrinkToFit="1"/>
    </xf>
    <xf numFmtId="0" fontId="14" fillId="0" borderId="0" xfId="0" applyFont="1"/>
    <xf numFmtId="0" fontId="15" fillId="0" borderId="0" xfId="1" applyFont="1" applyAlignment="1" applyProtection="1"/>
    <xf numFmtId="9" fontId="5" fillId="0" borderId="2" xfId="2" applyFont="1" applyBorder="1" applyAlignment="1">
      <alignment horizontal="center" vertical="center"/>
    </xf>
    <xf numFmtId="0" fontId="5" fillId="0" borderId="2" xfId="0" applyFont="1" applyBorder="1" applyAlignment="1">
      <alignment horizontal="center" vertical="center"/>
    </xf>
    <xf numFmtId="9" fontId="5" fillId="3" borderId="2" xfId="2" applyFont="1" applyFill="1" applyBorder="1" applyAlignment="1">
      <alignment horizontal="center" vertical="center"/>
    </xf>
    <xf numFmtId="0" fontId="6" fillId="7" borderId="2" xfId="0" applyFont="1" applyFill="1" applyBorder="1" applyAlignment="1">
      <alignment horizontal="left" vertical="center" indent="1"/>
    </xf>
    <xf numFmtId="9" fontId="5" fillId="7" borderId="2" xfId="2" applyFont="1" applyFill="1" applyBorder="1" applyAlignment="1">
      <alignment horizontal="center" vertical="center"/>
    </xf>
    <xf numFmtId="9" fontId="5" fillId="4" borderId="2" xfId="2" applyFont="1" applyFill="1" applyBorder="1" applyAlignment="1">
      <alignment horizontal="center" vertical="center"/>
    </xf>
    <xf numFmtId="0" fontId="6" fillId="5" borderId="2" xfId="0" applyFont="1" applyFill="1" applyBorder="1" applyAlignment="1">
      <alignment horizontal="left" vertical="center" indent="1"/>
    </xf>
    <xf numFmtId="9" fontId="5" fillId="5" borderId="2" xfId="2" applyFont="1" applyFill="1" applyBorder="1" applyAlignment="1">
      <alignment horizontal="center" vertical="center"/>
    </xf>
    <xf numFmtId="9" fontId="5" fillId="8" borderId="2" xfId="2" applyFont="1" applyFill="1" applyBorder="1" applyAlignment="1">
      <alignment horizontal="center" vertical="center"/>
    </xf>
    <xf numFmtId="0" fontId="8" fillId="2" borderId="2" xfId="0" applyFont="1" applyFill="1" applyBorder="1" applyAlignment="1">
      <alignment horizontal="left" vertical="center" indent="1"/>
    </xf>
    <xf numFmtId="0" fontId="8" fillId="2" borderId="2" xfId="0" applyFont="1" applyFill="1" applyBorder="1" applyAlignment="1">
      <alignment horizontal="center" vertical="center"/>
    </xf>
    <xf numFmtId="9" fontId="5" fillId="2" borderId="2" xfId="2" applyFont="1" applyFill="1" applyBorder="1" applyAlignment="1">
      <alignment horizontal="center" vertical="center"/>
    </xf>
    <xf numFmtId="0" fontId="5" fillId="2" borderId="2" xfId="0" applyFont="1" applyFill="1"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0" applyFont="1" applyAlignment="1">
      <alignment horizontal="center" vertical="center"/>
    </xf>
    <xf numFmtId="0" fontId="16" fillId="0" borderId="0" xfId="3"/>
    <xf numFmtId="0" fontId="16" fillId="0" borderId="0" xfId="3" applyAlignment="1">
      <alignment wrapText="1"/>
    </xf>
    <xf numFmtId="0" fontId="16" fillId="0" borderId="0" xfId="0" applyFont="1" applyAlignment="1">
      <alignment horizontal="center"/>
    </xf>
    <xf numFmtId="0" fontId="0" fillId="0" borderId="0" xfId="0" applyAlignment="1">
      <alignment wrapText="1"/>
    </xf>
    <xf numFmtId="0" fontId="13" fillId="0" borderId="0" xfId="5" applyAlignment="1">
      <alignment horizontal="left"/>
    </xf>
    <xf numFmtId="0" fontId="10" fillId="0" borderId="0" xfId="7">
      <alignment vertical="top"/>
    </xf>
    <xf numFmtId="0" fontId="9" fillId="3" borderId="2" xfId="11" applyFill="1">
      <alignment horizontal="center" vertical="center"/>
    </xf>
    <xf numFmtId="0" fontId="9" fillId="7" borderId="2" xfId="11" applyFill="1">
      <alignment horizontal="center" vertical="center"/>
    </xf>
    <xf numFmtId="0" fontId="9" fillId="4" borderId="2" xfId="11" applyFill="1">
      <alignment horizontal="center" vertical="center"/>
    </xf>
    <xf numFmtId="0" fontId="9" fillId="5" borderId="2" xfId="11" applyFill="1">
      <alignment horizontal="center" vertical="center"/>
    </xf>
    <xf numFmtId="0" fontId="9" fillId="8" borderId="2" xfId="11" applyFill="1">
      <alignment horizontal="center" vertical="center"/>
    </xf>
    <xf numFmtId="0" fontId="9" fillId="0" borderId="2" xfId="11">
      <alignment horizontal="center" vertical="center"/>
    </xf>
    <xf numFmtId="0" fontId="9" fillId="4" borderId="2" xfId="12" applyFill="1">
      <alignment horizontal="left" vertical="center" indent="2"/>
    </xf>
    <xf numFmtId="0" fontId="9" fillId="0" borderId="2" xfId="12">
      <alignment horizontal="left" vertical="center" indent="2"/>
    </xf>
    <xf numFmtId="0" fontId="0" fillId="0" borderId="10" xfId="0" applyBorder="1"/>
    <xf numFmtId="170" fontId="0" fillId="7" borderId="2" xfId="0" applyNumberFormat="1" applyFill="1" applyBorder="1" applyAlignment="1">
      <alignment horizontal="center" vertical="center"/>
    </xf>
    <xf numFmtId="170" fontId="5" fillId="7" borderId="2" xfId="0" applyNumberFormat="1" applyFont="1" applyFill="1" applyBorder="1" applyAlignment="1">
      <alignment horizontal="center" vertical="center"/>
    </xf>
    <xf numFmtId="170" fontId="0" fillId="5" borderId="2" xfId="0" applyNumberFormat="1" applyFill="1" applyBorder="1" applyAlignment="1">
      <alignment horizontal="center" vertical="center"/>
    </xf>
    <xf numFmtId="170" fontId="5" fillId="5" borderId="2" xfId="0" applyNumberFormat="1" applyFont="1" applyFill="1" applyBorder="1" applyAlignment="1">
      <alignment horizontal="center" vertical="center"/>
    </xf>
    <xf numFmtId="170" fontId="9" fillId="8" borderId="2" xfId="10" applyFill="1">
      <alignment horizontal="center" vertical="center"/>
    </xf>
    <xf numFmtId="170" fontId="4" fillId="2" borderId="2" xfId="0" applyNumberFormat="1" applyFont="1" applyFill="1" applyBorder="1" applyAlignment="1">
      <alignment horizontal="left" vertical="center"/>
    </xf>
    <xf numFmtId="170" fontId="5" fillId="2" borderId="2" xfId="0" applyNumberFormat="1" applyFont="1" applyFill="1" applyBorder="1" applyAlignment="1">
      <alignment horizontal="center" vertical="center"/>
    </xf>
    <xf numFmtId="171" fontId="11" fillId="6" borderId="6" xfId="0" applyNumberFormat="1" applyFont="1" applyFill="1" applyBorder="1" applyAlignment="1">
      <alignment horizontal="center" vertical="center"/>
    </xf>
    <xf numFmtId="170" fontId="9" fillId="3" borderId="2" xfId="10" applyFill="1">
      <alignment horizontal="center" vertical="center"/>
    </xf>
    <xf numFmtId="170" fontId="9" fillId="4" borderId="2" xfId="10" applyFill="1">
      <alignment horizontal="center" vertical="center"/>
    </xf>
    <xf numFmtId="170" fontId="9" fillId="0" borderId="2" xfId="10">
      <alignment horizontal="center" vertical="center"/>
    </xf>
    <xf numFmtId="0" fontId="0" fillId="42" borderId="9" xfId="0" applyFill="1" applyBorder="1" applyAlignment="1">
      <alignment vertical="center"/>
    </xf>
    <xf numFmtId="0" fontId="0" fillId="42" borderId="9" xfId="0" applyFill="1" applyBorder="1" applyAlignment="1">
      <alignment horizontal="right" vertical="center"/>
    </xf>
    <xf numFmtId="171" fontId="11" fillId="6" borderId="6" xfId="0" applyNumberFormat="1" applyFont="1" applyFill="1" applyBorder="1" applyAlignment="1">
      <alignment horizontal="center" vertical="center" wrapText="1"/>
    </xf>
    <xf numFmtId="0" fontId="17" fillId="0" borderId="0" xfId="0" applyFont="1"/>
    <xf numFmtId="0" fontId="0" fillId="0" borderId="0" xfId="0" applyAlignment="1">
      <alignment horizontal="center" vertical="center"/>
    </xf>
    <xf numFmtId="0" fontId="6" fillId="3" borderId="2" xfId="11" applyFont="1" applyFill="1">
      <alignment horizontal="center" vertical="center"/>
    </xf>
    <xf numFmtId="0" fontId="6" fillId="4" borderId="2" xfId="12" applyFont="1" applyFill="1">
      <alignment horizontal="left" vertical="center" indent="2"/>
    </xf>
    <xf numFmtId="0" fontId="6" fillId="42" borderId="2" xfId="0" applyFont="1" applyFill="1" applyBorder="1" applyAlignment="1">
      <alignment horizontal="left" vertical="center" indent="1"/>
    </xf>
    <xf numFmtId="0" fontId="9" fillId="42" borderId="2" xfId="11" applyFill="1">
      <alignment horizontal="center" vertical="center"/>
    </xf>
    <xf numFmtId="9" fontId="5" fillId="42" borderId="2" xfId="2" applyFont="1" applyFill="1" applyBorder="1" applyAlignment="1">
      <alignment horizontal="center" vertical="center"/>
    </xf>
    <xf numFmtId="170" fontId="0" fillId="42" borderId="2" xfId="0" applyNumberFormat="1" applyFill="1" applyBorder="1" applyAlignment="1">
      <alignment horizontal="center" vertical="center"/>
    </xf>
    <xf numFmtId="170" fontId="5" fillId="42" borderId="2" xfId="0" applyNumberFormat="1" applyFont="1" applyFill="1" applyBorder="1" applyAlignment="1">
      <alignment horizontal="center" vertical="center"/>
    </xf>
    <xf numFmtId="0" fontId="9" fillId="42" borderId="2" xfId="12" applyFill="1">
      <alignment horizontal="left" vertical="center" indent="2"/>
    </xf>
    <xf numFmtId="170" fontId="9" fillId="42" borderId="2" xfId="10" applyFill="1">
      <alignment horizontal="center" vertical="center"/>
    </xf>
    <xf numFmtId="0" fontId="5" fillId="3" borderId="2" xfId="0" applyFont="1" applyFill="1" applyBorder="1" applyAlignment="1">
      <alignment horizontal="center" vertical="center"/>
    </xf>
    <xf numFmtId="0" fontId="5" fillId="7" borderId="2" xfId="0" applyFont="1" applyFill="1" applyBorder="1" applyAlignment="1">
      <alignment horizontal="center" vertical="center"/>
    </xf>
    <xf numFmtId="0" fontId="5" fillId="4" borderId="2" xfId="0" applyFont="1" applyFill="1" applyBorder="1" applyAlignment="1">
      <alignment horizontal="center" vertical="center"/>
    </xf>
    <xf numFmtId="0" fontId="5" fillId="5" borderId="2" xfId="0" applyFont="1" applyFill="1" applyBorder="1" applyAlignment="1">
      <alignment horizontal="center" vertical="center"/>
    </xf>
    <xf numFmtId="0" fontId="5" fillId="8" borderId="2" xfId="0" applyFont="1" applyFill="1" applyBorder="1" applyAlignment="1">
      <alignment horizontal="center" vertical="center"/>
    </xf>
    <xf numFmtId="0" fontId="0" fillId="4" borderId="2" xfId="12" applyFont="1" applyFill="1">
      <alignment horizontal="left" vertical="center" indent="2"/>
    </xf>
    <xf numFmtId="171" fontId="11" fillId="43" borderId="6" xfId="0" applyNumberFormat="1" applyFont="1" applyFill="1" applyBorder="1" applyAlignment="1">
      <alignment horizontal="center" vertical="center"/>
    </xf>
    <xf numFmtId="0" fontId="0" fillId="43" borderId="9" xfId="0" applyFill="1" applyBorder="1" applyAlignment="1">
      <alignment vertical="center"/>
    </xf>
    <xf numFmtId="0" fontId="0" fillId="42" borderId="0" xfId="0" applyFill="1"/>
    <xf numFmtId="0" fontId="0" fillId="42" borderId="0" xfId="0" applyFill="1" applyAlignment="1">
      <alignment vertical="center"/>
    </xf>
    <xf numFmtId="0" fontId="16" fillId="42" borderId="0" xfId="3" applyFill="1" applyAlignment="1">
      <alignment wrapText="1"/>
    </xf>
    <xf numFmtId="0" fontId="0" fillId="4" borderId="9" xfId="0" applyFill="1" applyBorder="1" applyAlignment="1">
      <alignment vertical="center"/>
    </xf>
    <xf numFmtId="0" fontId="0" fillId="4" borderId="0" xfId="0" applyFill="1"/>
    <xf numFmtId="0" fontId="0" fillId="4" borderId="0" xfId="0" applyFill="1" applyAlignment="1">
      <alignment vertical="center"/>
    </xf>
    <xf numFmtId="0" fontId="6" fillId="44" borderId="2" xfId="12" applyFont="1" applyFill="1">
      <alignment horizontal="left" vertical="center" indent="2"/>
    </xf>
    <xf numFmtId="0" fontId="9" fillId="44" borderId="2" xfId="11" applyFill="1">
      <alignment horizontal="center" vertical="center"/>
    </xf>
    <xf numFmtId="9" fontId="5" fillId="44" borderId="2" xfId="2" applyFont="1" applyFill="1" applyBorder="1" applyAlignment="1">
      <alignment horizontal="center" vertical="center"/>
    </xf>
    <xf numFmtId="170" fontId="9" fillId="44" borderId="2" xfId="10" applyFill="1">
      <alignment horizontal="center" vertical="center"/>
    </xf>
    <xf numFmtId="0" fontId="5" fillId="44" borderId="2" xfId="0" applyFont="1" applyFill="1" applyBorder="1" applyAlignment="1">
      <alignment horizontal="center" vertical="center"/>
    </xf>
    <xf numFmtId="0" fontId="0" fillId="44" borderId="9" xfId="0" applyFill="1" applyBorder="1" applyAlignment="1">
      <alignment vertical="center"/>
    </xf>
    <xf numFmtId="0" fontId="0" fillId="44" borderId="0" xfId="0" applyFill="1"/>
    <xf numFmtId="0" fontId="0" fillId="44" borderId="0" xfId="0" applyFill="1" applyAlignment="1">
      <alignment vertical="center"/>
    </xf>
    <xf numFmtId="0" fontId="6" fillId="45" borderId="2" xfId="0" applyFont="1" applyFill="1" applyBorder="1" applyAlignment="1">
      <alignment horizontal="left" vertical="center" indent="1"/>
    </xf>
    <xf numFmtId="0" fontId="9" fillId="45" borderId="2" xfId="11" applyFill="1">
      <alignment horizontal="center" vertical="center"/>
    </xf>
    <xf numFmtId="9" fontId="5" fillId="45" borderId="2" xfId="2" applyFont="1" applyFill="1" applyBorder="1" applyAlignment="1">
      <alignment horizontal="center" vertical="center"/>
    </xf>
    <xf numFmtId="170" fontId="0" fillId="45" borderId="2" xfId="0" applyNumberFormat="1" applyFill="1" applyBorder="1" applyAlignment="1">
      <alignment horizontal="center" vertical="center"/>
    </xf>
    <xf numFmtId="170" fontId="5" fillId="45" borderId="2" xfId="0" applyNumberFormat="1" applyFont="1" applyFill="1" applyBorder="1" applyAlignment="1">
      <alignment horizontal="center" vertical="center"/>
    </xf>
    <xf numFmtId="0" fontId="5" fillId="45" borderId="2" xfId="0" applyFont="1" applyFill="1" applyBorder="1" applyAlignment="1">
      <alignment horizontal="center" vertical="center"/>
    </xf>
    <xf numFmtId="0" fontId="0" fillId="45" borderId="0" xfId="0" applyFill="1"/>
    <xf numFmtId="0" fontId="0" fillId="45" borderId="0" xfId="0" applyFill="1" applyAlignment="1">
      <alignment vertical="center"/>
    </xf>
    <xf numFmtId="0" fontId="16" fillId="42" borderId="0" xfId="3" applyFill="1"/>
    <xf numFmtId="0" fontId="6" fillId="44" borderId="2" xfId="11" applyFont="1" applyFill="1">
      <alignment horizontal="center" vertical="center"/>
    </xf>
    <xf numFmtId="0" fontId="6" fillId="4" borderId="2" xfId="0" applyFont="1" applyFill="1" applyBorder="1" applyAlignment="1">
      <alignment horizontal="left" vertical="center" indent="1"/>
    </xf>
    <xf numFmtId="170" fontId="0" fillId="4" borderId="2" xfId="0" applyNumberFormat="1" applyFill="1" applyBorder="1" applyAlignment="1">
      <alignment horizontal="center" vertical="center"/>
    </xf>
    <xf numFmtId="170" fontId="5" fillId="4" borderId="2" xfId="0" applyNumberFormat="1" applyFont="1" applyFill="1" applyBorder="1" applyAlignment="1">
      <alignment horizontal="center" vertical="center"/>
    </xf>
    <xf numFmtId="0" fontId="5" fillId="42" borderId="2" xfId="0" applyFont="1" applyFill="1" applyBorder="1" applyAlignment="1">
      <alignment horizontal="center" vertical="center"/>
    </xf>
    <xf numFmtId="0" fontId="6" fillId="8" borderId="2" xfId="11" applyFont="1" applyFill="1" applyAlignment="1">
      <alignment horizontal="left" vertical="center" indent="2"/>
    </xf>
    <xf numFmtId="0" fontId="9" fillId="8" borderId="2" xfId="12" applyFill="1" applyAlignment="1">
      <alignment horizontal="left" vertical="center" indent="3"/>
    </xf>
    <xf numFmtId="0" fontId="6" fillId="3" borderId="2" xfId="12" applyFont="1" applyFill="1" applyAlignment="1">
      <alignment horizontal="left" vertical="center" indent="3"/>
    </xf>
    <xf numFmtId="0" fontId="6" fillId="3" borderId="2" xfId="12" applyFont="1" applyFill="1" applyAlignment="1">
      <alignment horizontal="left" vertical="center" indent="1"/>
    </xf>
    <xf numFmtId="0" fontId="9" fillId="3" borderId="2" xfId="12" applyFill="1" applyAlignment="1">
      <alignment horizontal="left" vertical="center" indent="1"/>
    </xf>
    <xf numFmtId="0" fontId="6" fillId="44" borderId="2" xfId="12" applyFont="1" applyFill="1" applyAlignment="1">
      <alignment horizontal="left" vertical="center" indent="1"/>
    </xf>
    <xf numFmtId="0" fontId="9" fillId="3" borderId="2" xfId="12" applyFill="1">
      <alignment horizontal="left" vertical="center" indent="2"/>
    </xf>
    <xf numFmtId="0" fontId="9" fillId="3" borderId="2" xfId="12" applyFill="1" applyAlignment="1">
      <alignment horizontal="left" vertical="center" indent="3"/>
    </xf>
    <xf numFmtId="0" fontId="0" fillId="3" borderId="2" xfId="12" applyFont="1" applyFill="1">
      <alignment horizontal="left" vertical="center" indent="2"/>
    </xf>
    <xf numFmtId="0" fontId="0" fillId="46" borderId="9" xfId="0" applyFill="1" applyBorder="1" applyAlignment="1">
      <alignment vertical="center"/>
    </xf>
    <xf numFmtId="0" fontId="9" fillId="0" borderId="0" xfId="8">
      <alignment horizontal="right" indent="1"/>
    </xf>
    <xf numFmtId="0" fontId="9" fillId="0" borderId="7" xfId="8" applyBorder="1">
      <alignment horizontal="right" indent="1"/>
    </xf>
    <xf numFmtId="169" fontId="0" fillId="6" borderId="4" xfId="0" applyNumberFormat="1" applyFill="1" applyBorder="1" applyAlignment="1">
      <alignment horizontal="center" vertical="center"/>
    </xf>
    <xf numFmtId="169" fontId="0" fillId="6" borderId="1" xfId="0" applyNumberFormat="1" applyFill="1" applyBorder="1" applyAlignment="1">
      <alignment horizontal="center" vertical="center"/>
    </xf>
    <xf numFmtId="169" fontId="0" fillId="6" borderId="5" xfId="0" applyNumberFormat="1" applyFill="1" applyBorder="1" applyAlignment="1">
      <alignment horizontal="center" vertical="center"/>
    </xf>
    <xf numFmtId="168" fontId="9" fillId="0" borderId="3" xfId="9">
      <alignment horizontal="center" vertical="center"/>
    </xf>
    <xf numFmtId="169" fontId="0" fillId="6" borderId="4" xfId="0" applyNumberFormat="1" applyFill="1" applyBorder="1" applyAlignment="1">
      <alignment horizontal="center" vertical="center" wrapText="1"/>
    </xf>
    <xf numFmtId="169" fontId="0" fillId="6" borderId="1" xfId="0" applyNumberFormat="1" applyFill="1" applyBorder="1" applyAlignment="1">
      <alignment horizontal="center" vertical="center" wrapText="1"/>
    </xf>
    <xf numFmtId="169" fontId="0" fillId="6" borderId="5" xfId="0" applyNumberFormat="1" applyFill="1" applyBorder="1" applyAlignment="1">
      <alignment horizontal="center" vertical="center" wrapText="1"/>
    </xf>
    <xf numFmtId="0" fontId="0" fillId="45" borderId="17" xfId="0" applyFill="1" applyBorder="1" applyAlignment="1">
      <alignment horizontal="center" vertical="center"/>
    </xf>
    <xf numFmtId="0" fontId="0" fillId="45" borderId="2" xfId="0" applyFill="1" applyBorder="1" applyAlignment="1">
      <alignment horizontal="center" vertical="center"/>
    </xf>
    <xf numFmtId="0" fontId="0" fillId="45" borderId="18" xfId="0" applyFill="1" applyBorder="1" applyAlignment="1">
      <alignment horizontal="center" vertical="center"/>
    </xf>
    <xf numFmtId="0" fontId="0" fillId="7" borderId="17" xfId="0" applyFill="1" applyBorder="1" applyAlignment="1">
      <alignment horizontal="center" vertical="center"/>
    </xf>
    <xf numFmtId="0" fontId="0" fillId="7" borderId="2" xfId="0" applyFill="1" applyBorder="1" applyAlignment="1">
      <alignment horizontal="center" vertical="center"/>
    </xf>
    <xf numFmtId="0" fontId="0" fillId="7" borderId="18" xfId="0" applyFill="1" applyBorder="1" applyAlignment="1">
      <alignment horizontal="center" vertical="center"/>
    </xf>
    <xf numFmtId="0" fontId="0" fillId="5" borderId="17" xfId="0" applyFill="1" applyBorder="1" applyAlignment="1">
      <alignment horizontal="center" vertical="center"/>
    </xf>
    <xf numFmtId="0" fontId="0" fillId="5" borderId="2" xfId="0" applyFill="1" applyBorder="1" applyAlignment="1">
      <alignment horizontal="center" vertical="center"/>
    </xf>
    <xf numFmtId="0" fontId="0" fillId="5" borderId="18" xfId="0" applyFill="1" applyBorder="1" applyAlignment="1">
      <alignment horizontal="center" vertical="center"/>
    </xf>
  </cellXfs>
  <cellStyles count="54">
    <cellStyle name="20% - Énfasis1" xfId="31" builtinId="30" customBuiltin="1"/>
    <cellStyle name="20% - Énfasis2" xfId="35" builtinId="34" customBuiltin="1"/>
    <cellStyle name="20% - Énfasis3" xfId="39" builtinId="38" customBuiltin="1"/>
    <cellStyle name="20% - Énfasis4" xfId="43" builtinId="42" customBuiltin="1"/>
    <cellStyle name="20% - Énfasis5" xfId="47" builtinId="46" customBuiltin="1"/>
    <cellStyle name="20% - Énfasis6" xfId="51" builtinId="50" customBuiltin="1"/>
    <cellStyle name="40% - Énfasis1" xfId="32" builtinId="31" customBuiltin="1"/>
    <cellStyle name="40% - Énfasis2" xfId="36" builtinId="35" customBuiltin="1"/>
    <cellStyle name="40% - Énfasis3" xfId="40" builtinId="39" customBuiltin="1"/>
    <cellStyle name="40% - Énfasis4" xfId="44" builtinId="43" customBuiltin="1"/>
    <cellStyle name="40% - Énfasis5" xfId="48" builtinId="47" customBuiltin="1"/>
    <cellStyle name="40% - Énfasis6" xfId="52" builtinId="51" customBuiltin="1"/>
    <cellStyle name="60% - Énfasis1" xfId="33" builtinId="32" customBuiltin="1"/>
    <cellStyle name="60% - Énfasis2" xfId="37" builtinId="36" customBuiltin="1"/>
    <cellStyle name="60% - Énfasis3" xfId="41" builtinId="40" customBuiltin="1"/>
    <cellStyle name="60% - Énfasis4" xfId="45" builtinId="44" customBuiltin="1"/>
    <cellStyle name="60% - Énfasis5" xfId="49" builtinId="48" customBuiltin="1"/>
    <cellStyle name="60% - Énfasis6" xfId="53" builtinId="52" customBuiltin="1"/>
    <cellStyle name="Bueno" xfId="18" builtinId="26" customBuiltin="1"/>
    <cellStyle name="Cálculo" xfId="23" builtinId="22" customBuiltin="1"/>
    <cellStyle name="Celda de comprobación" xfId="25" builtinId="23" customBuiltin="1"/>
    <cellStyle name="Celda vinculada" xfId="24" builtinId="24" customBuiltin="1"/>
    <cellStyle name="Encabezado 1" xfId="6" builtinId="16" customBuiltin="1"/>
    <cellStyle name="Encabezado 4" xfId="17" builtinId="19" customBuiltin="1"/>
    <cellStyle name="Énfasis1" xfId="30" builtinId="29" customBuiltin="1"/>
    <cellStyle name="Énfasis2" xfId="34" builtinId="33" customBuiltin="1"/>
    <cellStyle name="Énfasis3" xfId="38" builtinId="37" customBuiltin="1"/>
    <cellStyle name="Énfasis4" xfId="42" builtinId="41" customBuiltin="1"/>
    <cellStyle name="Énfasis5" xfId="46" builtinId="45" customBuiltin="1"/>
    <cellStyle name="Énfasis6" xfId="50" builtinId="49" customBuiltin="1"/>
    <cellStyle name="Entrada" xfId="21" builtinId="20" customBuiltin="1"/>
    <cellStyle name="Fecha" xfId="10" xr:uid="{229918B6-DD13-4F5A-97B9-305F7E002AA3}"/>
    <cellStyle name="Hipervínculo" xfId="1" builtinId="8" customBuiltin="1"/>
    <cellStyle name="Hipervínculo visitado" xfId="13" builtinId="9" customBuiltin="1"/>
    <cellStyle name="Incorrecto" xfId="19" builtinId="27" customBuiltin="1"/>
    <cellStyle name="Inicio del proyecto" xfId="9" xr:uid="{8EB8A09A-C31C-40A3-B2C1-9449520178B8}"/>
    <cellStyle name="Millares" xfId="4" builtinId="3" customBuiltin="1"/>
    <cellStyle name="Millares [0]" xfId="14" builtinId="6" customBuiltin="1"/>
    <cellStyle name="Moneda" xfId="15" builtinId="4" customBuiltin="1"/>
    <cellStyle name="Moneda [0]" xfId="16" builtinId="7" customBuiltin="1"/>
    <cellStyle name="Neutral" xfId="20" builtinId="28" customBuiltin="1"/>
    <cellStyle name="Nombre" xfId="11" xr:uid="{B2D3C1EE-6B41-4801-AAFC-C2274E49E503}"/>
    <cellStyle name="Normal" xfId="0" builtinId="0" customBuiltin="1"/>
    <cellStyle name="Notas" xfId="27" builtinId="10" customBuiltin="1"/>
    <cellStyle name="Porcentaje" xfId="2" builtinId="5" customBuiltin="1"/>
    <cellStyle name="Salida" xfId="22" builtinId="21" customBuiltin="1"/>
    <cellStyle name="Tarea" xfId="12" xr:uid="{6391D789-272B-4DD2-9BF3-2CDCF610FA41}"/>
    <cellStyle name="Texto de advertencia" xfId="26" builtinId="11" customBuiltin="1"/>
    <cellStyle name="Texto explicativo" xfId="28" builtinId="53" customBuiltin="1"/>
    <cellStyle name="Título" xfId="5" builtinId="15" customBuiltin="1"/>
    <cellStyle name="Título 2" xfId="7" builtinId="17" customBuiltin="1"/>
    <cellStyle name="Título 3" xfId="8" builtinId="18" customBuiltin="1"/>
    <cellStyle name="Total" xfId="29" builtinId="25" customBuiltin="1"/>
    <cellStyle name="zTextoOculto" xfId="3" xr:uid="{26E66EE6-E33F-4D77-BAE4-0FB4F5BBF673}"/>
  </cellStyles>
  <dxfs count="12">
    <dxf>
      <fill>
        <patternFill>
          <bgColor rgb="FFC00000"/>
        </patternFill>
      </fill>
      <border>
        <left/>
        <right/>
      </border>
    </dxf>
    <dxf>
      <fill>
        <patternFill>
          <bgColor theme="6" tint="-0.24994659260841701"/>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ListaTareasPendientes"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EDA92F"/>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styles" Target="styles.xml"/><Relationship Id="rId7" Type="http://schemas.openxmlformats.org/officeDocument/2006/relationships/customXml" Target="../customXml/item2.xml"/><Relationship Id="rId2"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DQ72"/>
  <sheetViews>
    <sheetView showGridLines="0" tabSelected="1" showRuler="0" topLeftCell="B1" zoomScale="70" zoomScaleNormal="70" zoomScalePageLayoutView="70" workbookViewId="0">
      <pane ySplit="5" topLeftCell="A7" activePane="bottomLeft" state="frozen"/>
      <selection pane="bottomLeft" activeCell="L22" sqref="L22"/>
    </sheetView>
  </sheetViews>
  <sheetFormatPr baseColWidth="10" defaultColWidth="9.140625" defaultRowHeight="30" customHeight="1" x14ac:dyDescent="0.25"/>
  <cols>
    <col min="1" max="1" width="2.7109375" style="30" customWidth="1"/>
    <col min="2" max="2" width="29.42578125" customWidth="1"/>
    <col min="3" max="3" width="30.7109375" customWidth="1"/>
    <col min="4" max="4" width="10.7109375" customWidth="1"/>
    <col min="5" max="5" width="10.42578125" style="5" customWidth="1"/>
    <col min="6" max="6" width="10.42578125" customWidth="1"/>
    <col min="7" max="7" width="2.140625" customWidth="1"/>
    <col min="8" max="8" width="0.28515625" style="60" customWidth="1"/>
    <col min="9" max="15" width="4.7109375" customWidth="1"/>
    <col min="16" max="19" width="4.7109375" style="3" customWidth="1"/>
    <col min="20" max="20" width="6.7109375" style="3" customWidth="1"/>
    <col min="21" max="24" width="4.7109375" customWidth="1"/>
    <col min="25" max="25" width="5.7109375" customWidth="1"/>
    <col min="26" max="29" width="4.7109375" customWidth="1"/>
    <col min="30" max="30" width="8.7109375" customWidth="1"/>
    <col min="31" max="33" width="4.7109375" customWidth="1"/>
    <col min="34" max="34" width="5" customWidth="1"/>
    <col min="35" max="35" width="8.140625" customWidth="1"/>
    <col min="36" max="39" width="4.7109375" customWidth="1"/>
    <col min="40" max="40" width="8" customWidth="1"/>
    <col min="41" max="41" width="4.7109375" customWidth="1"/>
    <col min="42" max="42" width="5.140625" customWidth="1"/>
    <col min="43" max="69" width="4.7109375" customWidth="1"/>
    <col min="70" max="70" width="8.28515625" customWidth="1"/>
    <col min="71" max="74" width="4.7109375" customWidth="1"/>
    <col min="75" max="75" width="9.5703125" customWidth="1"/>
    <col min="76" max="79" width="4.7109375" customWidth="1"/>
    <col min="80" max="80" width="7.7109375" customWidth="1"/>
    <col min="81" max="85" width="4.7109375" customWidth="1"/>
  </cols>
  <sheetData>
    <row r="1" spans="1:121" ht="30" customHeight="1" x14ac:dyDescent="0.45">
      <c r="A1" s="31" t="s">
        <v>0</v>
      </c>
      <c r="B1" s="34" t="s">
        <v>18</v>
      </c>
      <c r="C1" s="1"/>
      <c r="D1" s="2"/>
      <c r="E1" s="4"/>
      <c r="F1" s="29"/>
      <c r="H1" s="29"/>
      <c r="I1" s="59"/>
    </row>
    <row r="2" spans="1:121" ht="30" customHeight="1" x14ac:dyDescent="0.25">
      <c r="A2" s="30" t="s">
        <v>1</v>
      </c>
      <c r="B2" s="35"/>
      <c r="C2" s="116" t="s">
        <v>11</v>
      </c>
      <c r="D2" s="117"/>
      <c r="E2" s="121">
        <f>DATE(2025,8,22)</f>
        <v>45891</v>
      </c>
      <c r="F2" s="121"/>
    </row>
    <row r="3" spans="1:121" ht="30" customHeight="1" x14ac:dyDescent="0.25">
      <c r="A3" s="31" t="s">
        <v>2</v>
      </c>
      <c r="C3" s="116" t="s">
        <v>12</v>
      </c>
      <c r="D3" s="117"/>
      <c r="E3" s="7">
        <v>1</v>
      </c>
      <c r="I3" s="122">
        <f>I4</f>
        <v>45890</v>
      </c>
      <c r="J3" s="123"/>
      <c r="K3" s="123"/>
      <c r="L3" s="123"/>
      <c r="M3" s="123"/>
      <c r="N3" s="123"/>
      <c r="O3" s="124"/>
      <c r="P3" s="118">
        <f>P4</f>
        <v>45901</v>
      </c>
      <c r="Q3" s="119"/>
      <c r="R3" s="119"/>
      <c r="S3" s="119"/>
      <c r="T3" s="120"/>
      <c r="U3" s="118">
        <f>U4</f>
        <v>45908</v>
      </c>
      <c r="V3" s="119"/>
      <c r="W3" s="119"/>
      <c r="X3" s="119"/>
      <c r="Y3" s="120"/>
      <c r="Z3" s="118">
        <f t="shared" ref="Z3" si="0">Z4</f>
        <v>45915</v>
      </c>
      <c r="AA3" s="119"/>
      <c r="AB3" s="119"/>
      <c r="AC3" s="119"/>
      <c r="AD3" s="120"/>
      <c r="AE3" s="122">
        <f t="shared" ref="AE3" si="1">AE4</f>
        <v>45922</v>
      </c>
      <c r="AF3" s="123"/>
      <c r="AG3" s="123"/>
      <c r="AH3" s="123"/>
      <c r="AI3" s="124"/>
      <c r="AJ3" s="118">
        <f t="shared" ref="AJ3" si="2">AJ4</f>
        <v>45929</v>
      </c>
      <c r="AK3" s="119"/>
      <c r="AL3" s="119"/>
      <c r="AM3" s="119"/>
      <c r="AN3" s="120"/>
      <c r="AO3" s="118">
        <f>AO4</f>
        <v>45936</v>
      </c>
      <c r="AP3" s="119"/>
      <c r="AQ3" s="119"/>
      <c r="AR3" s="119"/>
      <c r="AS3" s="120"/>
      <c r="AT3" s="118">
        <f t="shared" ref="AT3" si="3">AT4</f>
        <v>45943</v>
      </c>
      <c r="AU3" s="119"/>
      <c r="AV3" s="119"/>
      <c r="AW3" s="119"/>
      <c r="AX3" s="120"/>
      <c r="AY3" s="118">
        <f t="shared" ref="AY3" si="4">AY4</f>
        <v>45950</v>
      </c>
      <c r="AZ3" s="119"/>
      <c r="BA3" s="119"/>
      <c r="BB3" s="119"/>
      <c r="BC3" s="120"/>
      <c r="BD3" s="118">
        <f t="shared" ref="BD3" si="5">BD4</f>
        <v>45957</v>
      </c>
      <c r="BE3" s="119"/>
      <c r="BF3" s="119"/>
      <c r="BG3" s="119"/>
      <c r="BH3" s="120"/>
      <c r="BI3" s="118">
        <f t="shared" ref="BI3" si="6">BI4</f>
        <v>45964</v>
      </c>
      <c r="BJ3" s="119"/>
      <c r="BK3" s="119"/>
      <c r="BL3" s="119"/>
      <c r="BM3" s="120"/>
      <c r="BN3" s="118">
        <f t="shared" ref="BN3" si="7">BN4</f>
        <v>45971</v>
      </c>
      <c r="BO3" s="119"/>
      <c r="BP3" s="119"/>
      <c r="BQ3" s="119"/>
      <c r="BR3" s="120"/>
      <c r="BS3" s="118">
        <f t="shared" ref="BS3" si="8">BS4</f>
        <v>45978</v>
      </c>
      <c r="BT3" s="119"/>
      <c r="BU3" s="119"/>
      <c r="BV3" s="119"/>
      <c r="BW3" s="120"/>
      <c r="BX3" s="118">
        <f t="shared" ref="BX3" si="9">BX4</f>
        <v>45985</v>
      </c>
      <c r="BY3" s="119"/>
      <c r="BZ3" s="119"/>
      <c r="CA3" s="119"/>
      <c r="CB3" s="120"/>
      <c r="CC3" s="118">
        <f t="shared" ref="CC3" si="10">CC4</f>
        <v>45992</v>
      </c>
      <c r="CD3" s="119"/>
      <c r="CE3" s="119"/>
      <c r="CF3" s="119"/>
      <c r="CG3" s="120"/>
    </row>
    <row r="4" spans="1:121" ht="15" customHeight="1" x14ac:dyDescent="0.25">
      <c r="A4" s="31" t="s">
        <v>3</v>
      </c>
      <c r="B4" s="44"/>
      <c r="C4" s="44"/>
      <c r="D4" s="44"/>
      <c r="E4" s="44"/>
      <c r="F4" s="44"/>
      <c r="G4" s="44"/>
      <c r="I4" s="58">
        <f t="shared" ref="I4:AN4" si="11">WORKDAY(Inicio_del_proyecto-1, (Semana_para_mostrar-1)*5 + COLUMN(A1)-1)</f>
        <v>45890</v>
      </c>
      <c r="J4" s="58">
        <f t="shared" si="11"/>
        <v>45891</v>
      </c>
      <c r="K4" s="58">
        <f>WORKDAY(Inicio_del_proyecto-1, (Semana_para_mostrar-1)*5 + COLUMN(C1)-1)</f>
        <v>45894</v>
      </c>
      <c r="L4" s="58">
        <f t="shared" si="11"/>
        <v>45895</v>
      </c>
      <c r="M4" s="58">
        <f t="shared" si="11"/>
        <v>45896</v>
      </c>
      <c r="N4" s="58">
        <f t="shared" si="11"/>
        <v>45897</v>
      </c>
      <c r="O4" s="58">
        <f t="shared" si="11"/>
        <v>45898</v>
      </c>
      <c r="P4" s="52">
        <f t="shared" si="11"/>
        <v>45901</v>
      </c>
      <c r="Q4" s="52">
        <f t="shared" si="11"/>
        <v>45902</v>
      </c>
      <c r="R4" s="52">
        <f t="shared" si="11"/>
        <v>45903</v>
      </c>
      <c r="S4" s="52">
        <f t="shared" si="11"/>
        <v>45904</v>
      </c>
      <c r="T4" s="52">
        <f t="shared" si="11"/>
        <v>45905</v>
      </c>
      <c r="U4" s="52">
        <f t="shared" si="11"/>
        <v>45908</v>
      </c>
      <c r="V4" s="52">
        <f t="shared" si="11"/>
        <v>45909</v>
      </c>
      <c r="W4" s="52">
        <f t="shared" si="11"/>
        <v>45910</v>
      </c>
      <c r="X4" s="52">
        <f t="shared" si="11"/>
        <v>45911</v>
      </c>
      <c r="Y4" s="52">
        <f t="shared" si="11"/>
        <v>45912</v>
      </c>
      <c r="Z4" s="52">
        <f t="shared" si="11"/>
        <v>45915</v>
      </c>
      <c r="AA4" s="52">
        <f t="shared" si="11"/>
        <v>45916</v>
      </c>
      <c r="AB4" s="52">
        <f t="shared" si="11"/>
        <v>45917</v>
      </c>
      <c r="AC4" s="76">
        <f t="shared" si="11"/>
        <v>45918</v>
      </c>
      <c r="AD4" s="76">
        <f t="shared" si="11"/>
        <v>45919</v>
      </c>
      <c r="AE4" s="52">
        <f t="shared" si="11"/>
        <v>45922</v>
      </c>
      <c r="AF4" s="52">
        <f t="shared" si="11"/>
        <v>45923</v>
      </c>
      <c r="AG4" s="52">
        <f t="shared" si="11"/>
        <v>45924</v>
      </c>
      <c r="AH4" s="52">
        <f t="shared" si="11"/>
        <v>45925</v>
      </c>
      <c r="AI4" s="52">
        <f t="shared" si="11"/>
        <v>45926</v>
      </c>
      <c r="AJ4" s="52">
        <f t="shared" si="11"/>
        <v>45929</v>
      </c>
      <c r="AK4" s="52">
        <f t="shared" si="11"/>
        <v>45930</v>
      </c>
      <c r="AL4" s="52">
        <f t="shared" si="11"/>
        <v>45931</v>
      </c>
      <c r="AM4" s="52">
        <f t="shared" si="11"/>
        <v>45932</v>
      </c>
      <c r="AN4" s="52">
        <f t="shared" si="11"/>
        <v>45933</v>
      </c>
      <c r="AO4" s="52">
        <f t="shared" ref="AO4:BT4" si="12">WORKDAY(Inicio_del_proyecto-1, (Semana_para_mostrar-1)*5 + COLUMN(AG1)-1)</f>
        <v>45936</v>
      </c>
      <c r="AP4" s="52">
        <f t="shared" si="12"/>
        <v>45937</v>
      </c>
      <c r="AQ4" s="52">
        <f t="shared" si="12"/>
        <v>45938</v>
      </c>
      <c r="AR4" s="52">
        <f t="shared" si="12"/>
        <v>45939</v>
      </c>
      <c r="AS4" s="52">
        <f t="shared" si="12"/>
        <v>45940</v>
      </c>
      <c r="AT4" s="52">
        <f t="shared" si="12"/>
        <v>45943</v>
      </c>
      <c r="AU4" s="52">
        <f t="shared" si="12"/>
        <v>45944</v>
      </c>
      <c r="AV4" s="52">
        <f t="shared" si="12"/>
        <v>45945</v>
      </c>
      <c r="AW4" s="52">
        <f t="shared" si="12"/>
        <v>45946</v>
      </c>
      <c r="AX4" s="52">
        <f t="shared" si="12"/>
        <v>45947</v>
      </c>
      <c r="AY4" s="52">
        <f t="shared" si="12"/>
        <v>45950</v>
      </c>
      <c r="AZ4" s="52">
        <f t="shared" si="12"/>
        <v>45951</v>
      </c>
      <c r="BA4" s="52">
        <f t="shared" si="12"/>
        <v>45952</v>
      </c>
      <c r="BB4" s="52">
        <f t="shared" si="12"/>
        <v>45953</v>
      </c>
      <c r="BC4" s="52">
        <f t="shared" si="12"/>
        <v>45954</v>
      </c>
      <c r="BD4" s="52">
        <f t="shared" si="12"/>
        <v>45957</v>
      </c>
      <c r="BE4" s="52">
        <f t="shared" si="12"/>
        <v>45958</v>
      </c>
      <c r="BF4" s="52">
        <f t="shared" si="12"/>
        <v>45959</v>
      </c>
      <c r="BG4" s="52">
        <f t="shared" si="12"/>
        <v>45960</v>
      </c>
      <c r="BH4" s="52">
        <f t="shared" si="12"/>
        <v>45961</v>
      </c>
      <c r="BI4" s="52">
        <f t="shared" si="12"/>
        <v>45964</v>
      </c>
      <c r="BJ4" s="52">
        <f t="shared" si="12"/>
        <v>45965</v>
      </c>
      <c r="BK4" s="52">
        <f t="shared" si="12"/>
        <v>45966</v>
      </c>
      <c r="BL4" s="52">
        <f t="shared" si="12"/>
        <v>45967</v>
      </c>
      <c r="BM4" s="52">
        <f t="shared" si="12"/>
        <v>45968</v>
      </c>
      <c r="BN4" s="52">
        <f t="shared" si="12"/>
        <v>45971</v>
      </c>
      <c r="BO4" s="52">
        <f t="shared" si="12"/>
        <v>45972</v>
      </c>
      <c r="BP4" s="52">
        <f t="shared" si="12"/>
        <v>45973</v>
      </c>
      <c r="BQ4" s="52">
        <f t="shared" si="12"/>
        <v>45974</v>
      </c>
      <c r="BR4" s="52">
        <f t="shared" si="12"/>
        <v>45975</v>
      </c>
      <c r="BS4" s="52">
        <f t="shared" si="12"/>
        <v>45978</v>
      </c>
      <c r="BT4" s="52">
        <f t="shared" si="12"/>
        <v>45979</v>
      </c>
      <c r="BU4" s="52">
        <f t="shared" ref="BU4:CG4" si="13">WORKDAY(Inicio_del_proyecto-1, (Semana_para_mostrar-1)*5 + COLUMN(BM1)-1)</f>
        <v>45980</v>
      </c>
      <c r="BV4" s="52">
        <f t="shared" si="13"/>
        <v>45981</v>
      </c>
      <c r="BW4" s="52">
        <f t="shared" si="13"/>
        <v>45982</v>
      </c>
      <c r="BX4" s="52">
        <f t="shared" si="13"/>
        <v>45985</v>
      </c>
      <c r="BY4" s="52">
        <f t="shared" si="13"/>
        <v>45986</v>
      </c>
      <c r="BZ4" s="52">
        <f t="shared" si="13"/>
        <v>45987</v>
      </c>
      <c r="CA4" s="52">
        <f t="shared" si="13"/>
        <v>45988</v>
      </c>
      <c r="CB4" s="52">
        <f t="shared" si="13"/>
        <v>45989</v>
      </c>
      <c r="CC4" s="52">
        <f t="shared" si="13"/>
        <v>45992</v>
      </c>
      <c r="CD4" s="52">
        <f t="shared" si="13"/>
        <v>45993</v>
      </c>
      <c r="CE4" s="52">
        <f t="shared" si="13"/>
        <v>45994</v>
      </c>
      <c r="CF4" s="52">
        <f t="shared" si="13"/>
        <v>45995</v>
      </c>
      <c r="CG4" s="52">
        <f t="shared" si="13"/>
        <v>45996</v>
      </c>
    </row>
    <row r="5" spans="1:121" ht="30" customHeight="1" thickBot="1" x14ac:dyDescent="0.3">
      <c r="A5" s="31" t="s">
        <v>4</v>
      </c>
      <c r="B5" s="8" t="s">
        <v>10</v>
      </c>
      <c r="C5" s="9" t="s">
        <v>13</v>
      </c>
      <c r="D5" s="9" t="s">
        <v>14</v>
      </c>
      <c r="E5" s="9" t="s">
        <v>15</v>
      </c>
      <c r="F5" s="9" t="s">
        <v>16</v>
      </c>
      <c r="G5" s="9"/>
      <c r="H5" s="9" t="s">
        <v>17</v>
      </c>
      <c r="I5" s="10" t="str">
        <f t="shared" ref="I5" si="14">LEFT(TEXT(I4,"ddd"),1)</f>
        <v>j</v>
      </c>
      <c r="J5" s="10" t="str">
        <f t="shared" ref="J5:AR5" si="15">LEFT(TEXT(J4,"ddd"),1)</f>
        <v>v</v>
      </c>
      <c r="K5" s="10" t="str">
        <f t="shared" si="15"/>
        <v>l</v>
      </c>
      <c r="L5" s="10" t="str">
        <f t="shared" si="15"/>
        <v>m</v>
      </c>
      <c r="M5" s="10" t="str">
        <f t="shared" si="15"/>
        <v>m</v>
      </c>
      <c r="N5" s="10" t="str">
        <f t="shared" si="15"/>
        <v>j</v>
      </c>
      <c r="O5" s="10" t="str">
        <f t="shared" si="15"/>
        <v>v</v>
      </c>
      <c r="P5" s="10" t="str">
        <f>LEFT(TEXT(P4,"ddd"),1)</f>
        <v>l</v>
      </c>
      <c r="Q5" s="10" t="str">
        <f>LEFT(TEXT(Q4,"ddd"),1)</f>
        <v>m</v>
      </c>
      <c r="R5" s="10" t="str">
        <f>LEFT(TEXT(R4,"ddd"),1)</f>
        <v>m</v>
      </c>
      <c r="S5" s="10" t="str">
        <f>LEFT(TEXT(S4,"ddd"),1)</f>
        <v>j</v>
      </c>
      <c r="T5" s="10" t="str">
        <f>LEFT(TEXT(T4,"ddd"),1)</f>
        <v>v</v>
      </c>
      <c r="U5" s="10" t="str">
        <f t="shared" si="15"/>
        <v>l</v>
      </c>
      <c r="V5" s="10" t="str">
        <f t="shared" si="15"/>
        <v>m</v>
      </c>
      <c r="W5" s="10" t="str">
        <f t="shared" si="15"/>
        <v>m</v>
      </c>
      <c r="X5" s="10" t="str">
        <f t="shared" si="15"/>
        <v>j</v>
      </c>
      <c r="Y5" s="10" t="str">
        <f t="shared" si="15"/>
        <v>v</v>
      </c>
      <c r="Z5" s="10" t="str">
        <f t="shared" si="15"/>
        <v>l</v>
      </c>
      <c r="AA5" s="10" t="str">
        <f t="shared" si="15"/>
        <v>m</v>
      </c>
      <c r="AB5" s="10" t="str">
        <f t="shared" si="15"/>
        <v>m</v>
      </c>
      <c r="AC5" s="10" t="str">
        <f t="shared" si="15"/>
        <v>j</v>
      </c>
      <c r="AD5" s="10" t="str">
        <f t="shared" si="15"/>
        <v>v</v>
      </c>
      <c r="AE5" s="10" t="str">
        <f t="shared" si="15"/>
        <v>l</v>
      </c>
      <c r="AF5" s="10" t="str">
        <f t="shared" si="15"/>
        <v>m</v>
      </c>
      <c r="AG5" s="10" t="str">
        <f t="shared" si="15"/>
        <v>m</v>
      </c>
      <c r="AH5" s="10" t="str">
        <f t="shared" si="15"/>
        <v>j</v>
      </c>
      <c r="AI5" s="10" t="str">
        <f t="shared" si="15"/>
        <v>v</v>
      </c>
      <c r="AJ5" s="10" t="str">
        <f t="shared" si="15"/>
        <v>l</v>
      </c>
      <c r="AK5" s="10" t="str">
        <f t="shared" si="15"/>
        <v>m</v>
      </c>
      <c r="AL5" s="10" t="str">
        <f t="shared" si="15"/>
        <v>m</v>
      </c>
      <c r="AM5" s="10" t="str">
        <f t="shared" si="15"/>
        <v>j</v>
      </c>
      <c r="AN5" s="10" t="str">
        <f t="shared" si="15"/>
        <v>v</v>
      </c>
      <c r="AO5" s="10" t="str">
        <f t="shared" si="15"/>
        <v>l</v>
      </c>
      <c r="AP5" s="10" t="str">
        <f t="shared" si="15"/>
        <v>m</v>
      </c>
      <c r="AQ5" s="10" t="str">
        <f t="shared" si="15"/>
        <v>m</v>
      </c>
      <c r="AR5" s="10" t="str">
        <f t="shared" si="15"/>
        <v>j</v>
      </c>
      <c r="AS5" s="10" t="str">
        <f t="shared" ref="AS5:CG5" si="16">LEFT(TEXT(AS4,"ddd"),1)</f>
        <v>v</v>
      </c>
      <c r="AT5" s="10" t="str">
        <f t="shared" si="16"/>
        <v>l</v>
      </c>
      <c r="AU5" s="10" t="str">
        <f t="shared" si="16"/>
        <v>m</v>
      </c>
      <c r="AV5" s="10" t="str">
        <f t="shared" si="16"/>
        <v>m</v>
      </c>
      <c r="AW5" s="10" t="str">
        <f t="shared" si="16"/>
        <v>j</v>
      </c>
      <c r="AX5" s="10" t="str">
        <f t="shared" si="16"/>
        <v>v</v>
      </c>
      <c r="AY5" s="10" t="str">
        <f t="shared" si="16"/>
        <v>l</v>
      </c>
      <c r="AZ5" s="10" t="str">
        <f t="shared" si="16"/>
        <v>m</v>
      </c>
      <c r="BA5" s="10" t="str">
        <f t="shared" si="16"/>
        <v>m</v>
      </c>
      <c r="BB5" s="10" t="str">
        <f t="shared" si="16"/>
        <v>j</v>
      </c>
      <c r="BC5" s="10" t="str">
        <f t="shared" si="16"/>
        <v>v</v>
      </c>
      <c r="BD5" s="10" t="str">
        <f t="shared" si="16"/>
        <v>l</v>
      </c>
      <c r="BE5" s="10" t="str">
        <f t="shared" si="16"/>
        <v>m</v>
      </c>
      <c r="BF5" s="10" t="str">
        <f t="shared" si="16"/>
        <v>m</v>
      </c>
      <c r="BG5" s="10" t="str">
        <f t="shared" si="16"/>
        <v>j</v>
      </c>
      <c r="BH5" s="10" t="str">
        <f t="shared" si="16"/>
        <v>v</v>
      </c>
      <c r="BI5" s="10" t="str">
        <f t="shared" si="16"/>
        <v>l</v>
      </c>
      <c r="BJ5" s="10" t="str">
        <f t="shared" si="16"/>
        <v>m</v>
      </c>
      <c r="BK5" s="10" t="str">
        <f t="shared" si="16"/>
        <v>m</v>
      </c>
      <c r="BL5" s="10" t="str">
        <f t="shared" si="16"/>
        <v>j</v>
      </c>
      <c r="BM5" s="10" t="str">
        <f t="shared" si="16"/>
        <v>v</v>
      </c>
      <c r="BN5" s="10" t="str">
        <f t="shared" si="16"/>
        <v>l</v>
      </c>
      <c r="BO5" s="10" t="str">
        <f t="shared" si="16"/>
        <v>m</v>
      </c>
      <c r="BP5" s="10" t="str">
        <f t="shared" si="16"/>
        <v>m</v>
      </c>
      <c r="BQ5" s="10" t="str">
        <f t="shared" si="16"/>
        <v>j</v>
      </c>
      <c r="BR5" s="10" t="str">
        <f t="shared" si="16"/>
        <v>v</v>
      </c>
      <c r="BS5" s="10" t="str">
        <f t="shared" si="16"/>
        <v>l</v>
      </c>
      <c r="BT5" s="10" t="str">
        <f t="shared" si="16"/>
        <v>m</v>
      </c>
      <c r="BU5" s="10" t="str">
        <f t="shared" si="16"/>
        <v>m</v>
      </c>
      <c r="BV5" s="10" t="str">
        <f t="shared" si="16"/>
        <v>j</v>
      </c>
      <c r="BW5" s="10" t="str">
        <f t="shared" si="16"/>
        <v>v</v>
      </c>
      <c r="BX5" s="10" t="str">
        <f t="shared" si="16"/>
        <v>l</v>
      </c>
      <c r="BY5" s="10" t="str">
        <f t="shared" si="16"/>
        <v>m</v>
      </c>
      <c r="BZ5" s="10" t="str">
        <f t="shared" si="16"/>
        <v>m</v>
      </c>
      <c r="CA5" s="10" t="str">
        <f t="shared" si="16"/>
        <v>j</v>
      </c>
      <c r="CB5" s="10" t="str">
        <f t="shared" si="16"/>
        <v>v</v>
      </c>
      <c r="CC5" s="10" t="str">
        <f t="shared" si="16"/>
        <v>l</v>
      </c>
      <c r="CD5" s="10" t="str">
        <f t="shared" si="16"/>
        <v>m</v>
      </c>
      <c r="CE5" s="10" t="str">
        <f t="shared" si="16"/>
        <v>m</v>
      </c>
      <c r="CF5" s="10" t="str">
        <f t="shared" si="16"/>
        <v>j</v>
      </c>
      <c r="CG5" s="10" t="str">
        <f t="shared" si="16"/>
        <v>v</v>
      </c>
      <c r="CJ5" t="s">
        <v>52</v>
      </c>
    </row>
    <row r="6" spans="1:121" ht="30" hidden="1" customHeight="1" thickBot="1" x14ac:dyDescent="0.3">
      <c r="A6" s="30" t="s">
        <v>5</v>
      </c>
      <c r="C6" s="33"/>
      <c r="E6"/>
      <c r="H6" s="60" t="str">
        <f>IF(OR(ISBLANK(task_start),ISBLANK(task_end)),"",task_end-task_start+1)</f>
        <v/>
      </c>
      <c r="I6" s="26"/>
      <c r="J6" s="26"/>
      <c r="K6" s="26"/>
      <c r="L6" s="26"/>
      <c r="M6" s="26"/>
      <c r="N6" s="26"/>
      <c r="O6" s="26"/>
      <c r="P6" s="26"/>
      <c r="Q6" s="26"/>
      <c r="R6" s="26"/>
      <c r="S6" s="26"/>
      <c r="T6" s="26"/>
      <c r="U6" s="26"/>
      <c r="V6" s="26"/>
      <c r="W6" s="26"/>
      <c r="X6" s="26"/>
      <c r="Y6" s="26"/>
      <c r="Z6" s="26"/>
      <c r="AA6" s="26"/>
      <c r="AB6" s="26"/>
      <c r="AC6" s="26"/>
      <c r="AD6" s="26"/>
      <c r="AE6" s="26"/>
      <c r="AF6" s="26"/>
      <c r="AG6" s="26"/>
      <c r="AH6" s="26"/>
      <c r="AI6" s="26"/>
      <c r="AJ6" s="26"/>
      <c r="AK6" s="26"/>
      <c r="AL6" s="26"/>
      <c r="AM6" s="26"/>
      <c r="AN6" s="26"/>
      <c r="AO6" s="26"/>
      <c r="AP6" s="26"/>
      <c r="AQ6" s="26"/>
      <c r="AR6" s="26"/>
      <c r="AS6" s="26"/>
      <c r="AT6" s="26"/>
      <c r="AU6" s="26"/>
      <c r="AV6" s="26"/>
      <c r="AW6" s="26"/>
      <c r="AX6" s="26"/>
      <c r="AY6" s="26"/>
      <c r="AZ6" s="26"/>
      <c r="BA6" s="26"/>
      <c r="BB6" s="26"/>
      <c r="BC6" s="26"/>
      <c r="BD6" s="26"/>
      <c r="BE6" s="26"/>
      <c r="BF6" s="26"/>
      <c r="BG6" s="26"/>
      <c r="BH6" s="26"/>
      <c r="BI6" s="26"/>
      <c r="BJ6" s="26"/>
      <c r="BK6" s="26"/>
      <c r="BL6" s="26"/>
      <c r="BM6" s="26"/>
      <c r="BN6" s="26"/>
      <c r="BO6" s="26"/>
      <c r="BP6" s="26"/>
      <c r="BQ6" s="26"/>
      <c r="BR6" s="26"/>
      <c r="BS6" s="26"/>
      <c r="BT6" s="26"/>
      <c r="BU6" s="26"/>
      <c r="BV6" s="26"/>
      <c r="BW6" s="26"/>
      <c r="BX6" s="26"/>
      <c r="BY6" s="26"/>
      <c r="BZ6" s="26"/>
      <c r="CA6" s="26"/>
      <c r="CB6" s="26"/>
      <c r="CC6" s="26"/>
      <c r="CD6" s="26"/>
      <c r="CE6" s="26"/>
      <c r="CF6" s="26"/>
      <c r="CG6" s="26"/>
    </row>
    <row r="7" spans="1:121" s="99" customFormat="1" ht="30" customHeight="1" thickBot="1" x14ac:dyDescent="0.3">
      <c r="A7" s="80"/>
      <c r="B7" s="92" t="s">
        <v>19</v>
      </c>
      <c r="C7" s="93"/>
      <c r="D7" s="94"/>
      <c r="E7" s="95"/>
      <c r="F7" s="96"/>
      <c r="G7" s="97"/>
      <c r="H7" s="97" t="str">
        <f t="shared" ref="H7:H68" si="17">IF(OR(ISBLANK(task_start),ISBLANK(task_end)),"",task_end-task_start+1)</f>
        <v/>
      </c>
      <c r="I7" s="125"/>
      <c r="J7" s="126"/>
      <c r="K7" s="126"/>
      <c r="L7" s="126"/>
      <c r="M7" s="126"/>
      <c r="N7" s="126"/>
      <c r="O7" s="126"/>
      <c r="P7" s="126"/>
      <c r="Q7" s="126"/>
      <c r="R7" s="126"/>
      <c r="S7" s="126"/>
      <c r="T7" s="126"/>
      <c r="U7" s="126"/>
      <c r="V7" s="126"/>
      <c r="W7" s="126"/>
      <c r="X7" s="126"/>
      <c r="Y7" s="126"/>
      <c r="Z7" s="126"/>
      <c r="AA7" s="126"/>
      <c r="AB7" s="126"/>
      <c r="AC7" s="126"/>
      <c r="AD7" s="126"/>
      <c r="AE7" s="126"/>
      <c r="AF7" s="126"/>
      <c r="AG7" s="126"/>
      <c r="AH7" s="126"/>
      <c r="AI7" s="126"/>
      <c r="AJ7" s="126"/>
      <c r="AK7" s="126"/>
      <c r="AL7" s="126"/>
      <c r="AM7" s="126"/>
      <c r="AN7" s="126"/>
      <c r="AO7" s="126"/>
      <c r="AP7" s="126"/>
      <c r="AQ7" s="126"/>
      <c r="AR7" s="126"/>
      <c r="AS7" s="126"/>
      <c r="AT7" s="126"/>
      <c r="AU7" s="126"/>
      <c r="AV7" s="126"/>
      <c r="AW7" s="126"/>
      <c r="AX7" s="126"/>
      <c r="AY7" s="126"/>
      <c r="AZ7" s="126"/>
      <c r="BA7" s="126"/>
      <c r="BB7" s="126"/>
      <c r="BC7" s="126"/>
      <c r="BD7" s="126"/>
      <c r="BE7" s="126"/>
      <c r="BF7" s="126"/>
      <c r="BG7" s="126"/>
      <c r="BH7" s="126"/>
      <c r="BI7" s="126"/>
      <c r="BJ7" s="126"/>
      <c r="BK7" s="126"/>
      <c r="BL7" s="126"/>
      <c r="BM7" s="126"/>
      <c r="BN7" s="126"/>
      <c r="BO7" s="126"/>
      <c r="BP7" s="126"/>
      <c r="BQ7" s="126"/>
      <c r="BR7" s="126"/>
      <c r="BS7" s="126"/>
      <c r="BT7" s="126"/>
      <c r="BU7" s="126"/>
      <c r="BV7" s="126"/>
      <c r="BW7" s="126"/>
      <c r="BX7" s="126"/>
      <c r="BY7" s="126"/>
      <c r="BZ7" s="126"/>
      <c r="CA7" s="126"/>
      <c r="CB7" s="126"/>
      <c r="CC7" s="126"/>
      <c r="CD7" s="126"/>
      <c r="CE7" s="126"/>
      <c r="CF7" s="126"/>
      <c r="CG7" s="127"/>
      <c r="CH7" s="98"/>
      <c r="CI7" s="98"/>
      <c r="CJ7" s="98"/>
      <c r="CK7" s="98"/>
      <c r="CL7" s="98"/>
      <c r="CM7" s="98"/>
      <c r="CN7" s="98"/>
      <c r="CO7" s="98"/>
      <c r="CP7" s="98"/>
      <c r="CQ7" s="98"/>
      <c r="CR7" s="98"/>
      <c r="CS7" s="98"/>
      <c r="CT7" s="98"/>
      <c r="CU7" s="98"/>
      <c r="CV7" s="98"/>
      <c r="CW7" s="98"/>
      <c r="CX7" s="98"/>
      <c r="CY7" s="98"/>
      <c r="CZ7" s="98"/>
      <c r="DA7" s="98"/>
      <c r="DB7" s="98"/>
      <c r="DC7" s="98"/>
      <c r="DD7" s="98"/>
      <c r="DE7" s="98"/>
      <c r="DF7" s="98"/>
      <c r="DG7" s="98"/>
      <c r="DH7" s="98"/>
      <c r="DI7" s="98"/>
      <c r="DJ7" s="98"/>
      <c r="DK7" s="98"/>
      <c r="DL7" s="98"/>
      <c r="DM7" s="98"/>
      <c r="DN7" s="98"/>
      <c r="DO7" s="98"/>
      <c r="DP7" s="98"/>
      <c r="DQ7" s="98"/>
    </row>
    <row r="8" spans="1:121" s="91" customFormat="1" ht="30" customHeight="1" thickBot="1" x14ac:dyDescent="0.3">
      <c r="A8" s="80"/>
      <c r="B8" s="84" t="s">
        <v>20</v>
      </c>
      <c r="C8" s="85"/>
      <c r="D8" s="86"/>
      <c r="E8" s="87"/>
      <c r="F8" s="87"/>
      <c r="G8" s="88"/>
      <c r="H8" s="88" t="str">
        <f t="shared" si="17"/>
        <v/>
      </c>
      <c r="I8" s="89"/>
      <c r="J8" s="89"/>
      <c r="K8" s="89"/>
      <c r="L8" s="89"/>
      <c r="M8" s="89"/>
      <c r="N8" s="89"/>
      <c r="O8" s="89"/>
      <c r="P8" s="89"/>
      <c r="Q8" s="89"/>
      <c r="R8" s="89"/>
      <c r="S8" s="89"/>
      <c r="T8" s="89"/>
      <c r="U8" s="89"/>
      <c r="V8" s="89"/>
      <c r="W8" s="89"/>
      <c r="X8" s="89"/>
      <c r="Y8" s="89"/>
      <c r="Z8" s="89"/>
      <c r="AA8" s="89"/>
      <c r="AB8" s="89"/>
      <c r="AC8" s="89"/>
      <c r="AD8" s="89"/>
      <c r="AE8" s="89"/>
      <c r="AF8" s="89"/>
      <c r="AG8" s="89"/>
      <c r="AH8" s="89"/>
      <c r="AI8" s="89"/>
      <c r="AJ8" s="89"/>
      <c r="AK8" s="89"/>
      <c r="AL8" s="89"/>
      <c r="AM8" s="89"/>
      <c r="AN8" s="89"/>
      <c r="AO8" s="89"/>
      <c r="AP8" s="89"/>
      <c r="AQ8" s="89"/>
      <c r="AR8" s="89"/>
      <c r="AS8" s="89"/>
      <c r="AT8" s="89"/>
      <c r="AU8" s="89"/>
      <c r="AV8" s="89"/>
      <c r="AW8" s="89"/>
      <c r="AX8" s="89"/>
      <c r="AY8" s="89"/>
      <c r="AZ8" s="89"/>
      <c r="BA8" s="89"/>
      <c r="BB8" s="89"/>
      <c r="BC8" s="89"/>
      <c r="BD8" s="89"/>
      <c r="BE8" s="89"/>
      <c r="BF8" s="89"/>
      <c r="BG8" s="89"/>
      <c r="BH8" s="89"/>
      <c r="BI8" s="89"/>
      <c r="BJ8" s="89"/>
      <c r="BK8" s="89"/>
      <c r="BL8" s="89"/>
      <c r="BM8" s="89"/>
      <c r="BN8" s="89"/>
      <c r="BO8" s="89"/>
      <c r="BP8" s="89"/>
      <c r="BQ8" s="89"/>
      <c r="BR8" s="89"/>
      <c r="BS8" s="89"/>
      <c r="BT8" s="89"/>
      <c r="BU8" s="89"/>
      <c r="BV8" s="89"/>
      <c r="BW8" s="89"/>
      <c r="BX8" s="89"/>
      <c r="BY8" s="89"/>
      <c r="BZ8" s="89"/>
      <c r="CA8" s="89"/>
      <c r="CB8" s="89"/>
      <c r="CC8" s="89"/>
      <c r="CD8" s="89"/>
      <c r="CE8" s="89"/>
      <c r="CF8" s="89"/>
      <c r="CG8" s="89"/>
      <c r="CH8" s="90"/>
      <c r="CI8" s="90"/>
      <c r="CJ8" s="90"/>
      <c r="CK8" s="90"/>
      <c r="CL8" s="90"/>
      <c r="CM8" s="90"/>
      <c r="CN8" s="90"/>
      <c r="CO8" s="90"/>
      <c r="CP8" s="90"/>
      <c r="CQ8" s="90"/>
      <c r="CR8" s="90"/>
      <c r="CS8" s="90"/>
      <c r="CT8" s="90"/>
      <c r="CU8" s="90"/>
      <c r="CV8" s="90"/>
      <c r="CW8" s="90"/>
      <c r="CX8" s="90"/>
      <c r="CY8" s="90"/>
      <c r="CZ8" s="90"/>
      <c r="DA8" s="90"/>
      <c r="DB8" s="90"/>
      <c r="DC8" s="90"/>
      <c r="DD8" s="90"/>
      <c r="DE8" s="90"/>
      <c r="DF8" s="90"/>
      <c r="DG8" s="90"/>
      <c r="DH8" s="90"/>
      <c r="DI8" s="90"/>
      <c r="DJ8" s="90"/>
      <c r="DK8" s="90"/>
      <c r="DL8" s="90"/>
      <c r="DM8" s="90"/>
      <c r="DN8" s="90"/>
      <c r="DO8" s="90"/>
      <c r="DP8" s="90"/>
      <c r="DQ8" s="90"/>
    </row>
    <row r="9" spans="1:121" s="3" customFormat="1" ht="30" customHeight="1" thickBot="1" x14ac:dyDescent="0.3">
      <c r="A9" s="31" t="s">
        <v>6</v>
      </c>
      <c r="B9" s="112" t="s">
        <v>21</v>
      </c>
      <c r="C9" s="36"/>
      <c r="D9" s="15">
        <v>1</v>
      </c>
      <c r="E9" s="53">
        <v>45891</v>
      </c>
      <c r="F9" s="53">
        <v>45894</v>
      </c>
      <c r="G9" s="70"/>
      <c r="H9" s="14">
        <f>IF(OR(ISBLANK(task_start),ISBLANK(task_end)),"",task_end-task_start+1)</f>
        <v>4</v>
      </c>
      <c r="I9" s="26"/>
      <c r="J9" s="26"/>
      <c r="K9" s="26"/>
      <c r="L9" s="26"/>
      <c r="M9" s="26"/>
      <c r="N9" s="26"/>
      <c r="O9" s="26"/>
      <c r="P9" s="26"/>
      <c r="Q9" s="26"/>
      <c r="R9" s="26"/>
      <c r="S9" s="26"/>
      <c r="T9" s="26"/>
      <c r="U9" s="27"/>
      <c r="V9" s="27"/>
      <c r="W9" s="26"/>
      <c r="X9" s="26"/>
      <c r="Y9" s="26"/>
      <c r="Z9" s="26"/>
      <c r="AA9" s="26"/>
      <c r="AB9" s="26"/>
      <c r="AC9" s="77"/>
      <c r="AD9" s="77"/>
      <c r="AE9" s="26"/>
      <c r="AF9" s="26"/>
      <c r="AG9" s="26"/>
      <c r="AH9" s="26"/>
      <c r="AI9" s="26"/>
      <c r="AJ9" s="26"/>
      <c r="AK9" s="26"/>
      <c r="AL9" s="26"/>
      <c r="AM9" s="26"/>
      <c r="AN9" s="26"/>
      <c r="AO9" s="26"/>
      <c r="AP9" s="26"/>
      <c r="AQ9" s="26"/>
      <c r="AR9" s="26"/>
      <c r="AS9" s="26"/>
      <c r="AT9" s="26"/>
      <c r="AU9" s="26"/>
      <c r="AV9" s="26"/>
      <c r="AW9" s="26"/>
      <c r="AX9" s="26"/>
      <c r="AY9" s="26"/>
      <c r="AZ9" s="26"/>
      <c r="BA9" s="26"/>
      <c r="BB9" s="26"/>
      <c r="BC9" s="26"/>
      <c r="BD9" s="26"/>
      <c r="BE9" s="26"/>
      <c r="BF9" s="26"/>
      <c r="BG9" s="26"/>
      <c r="BH9" s="26"/>
      <c r="BI9" s="26"/>
      <c r="BJ9" s="26"/>
      <c r="BK9" s="26"/>
      <c r="BL9" s="26"/>
      <c r="BM9" s="26"/>
      <c r="BN9" s="26"/>
      <c r="BO9" s="26"/>
      <c r="BP9" s="26"/>
      <c r="BQ9" s="56"/>
      <c r="BR9" s="56"/>
      <c r="BS9" s="56"/>
      <c r="BT9" s="56"/>
      <c r="BU9" s="56"/>
      <c r="BV9" s="56"/>
      <c r="BW9" s="56"/>
      <c r="BX9" s="56"/>
      <c r="BY9" s="57"/>
      <c r="BZ9" s="57"/>
      <c r="CA9" s="56"/>
      <c r="CB9" s="56"/>
      <c r="CC9" s="56"/>
      <c r="CD9" s="56"/>
      <c r="CE9" s="56"/>
      <c r="CF9" s="56"/>
      <c r="CG9" s="56"/>
      <c r="CH9"/>
      <c r="CI9"/>
      <c r="CJ9"/>
      <c r="CK9"/>
      <c r="CL9"/>
      <c r="CM9"/>
      <c r="CN9"/>
      <c r="CO9"/>
      <c r="CP9"/>
      <c r="CQ9"/>
      <c r="CR9"/>
      <c r="CS9"/>
      <c r="CT9"/>
      <c r="CU9"/>
      <c r="CV9"/>
      <c r="CW9"/>
      <c r="CX9"/>
      <c r="CY9"/>
      <c r="CZ9"/>
      <c r="DA9"/>
      <c r="DB9"/>
      <c r="DC9"/>
      <c r="DD9"/>
      <c r="DE9"/>
      <c r="DF9"/>
      <c r="DG9"/>
      <c r="DH9"/>
      <c r="DI9"/>
      <c r="DJ9"/>
      <c r="DK9"/>
      <c r="DL9"/>
      <c r="DM9"/>
      <c r="DN9"/>
      <c r="DO9"/>
      <c r="DP9"/>
      <c r="DQ9"/>
    </row>
    <row r="10" spans="1:121" s="3" customFormat="1" ht="30" customHeight="1" thickBot="1" x14ac:dyDescent="0.3">
      <c r="A10" s="31"/>
      <c r="B10" s="112" t="s">
        <v>68</v>
      </c>
      <c r="C10" s="36"/>
      <c r="D10" s="15">
        <v>1</v>
      </c>
      <c r="E10" s="53">
        <v>45895</v>
      </c>
      <c r="F10" s="53">
        <v>45895</v>
      </c>
      <c r="G10" s="70"/>
      <c r="H10" s="14"/>
      <c r="I10" s="26"/>
      <c r="J10" s="26"/>
      <c r="K10" s="26"/>
      <c r="L10" s="26"/>
      <c r="M10" s="26"/>
      <c r="N10" s="26"/>
      <c r="O10" s="26"/>
      <c r="P10" s="26"/>
      <c r="Q10" s="26"/>
      <c r="R10" s="26"/>
      <c r="S10" s="26"/>
      <c r="T10" s="26"/>
      <c r="U10" s="27"/>
      <c r="V10" s="27"/>
      <c r="W10" s="26"/>
      <c r="X10" s="26"/>
      <c r="Y10" s="26"/>
      <c r="Z10" s="26"/>
      <c r="AA10" s="26"/>
      <c r="AB10" s="26"/>
      <c r="AC10" s="77"/>
      <c r="AD10" s="77"/>
      <c r="AE10" s="26"/>
      <c r="AF10" s="26"/>
      <c r="AG10" s="26"/>
      <c r="AH10" s="26"/>
      <c r="AI10" s="26"/>
      <c r="AJ10" s="26"/>
      <c r="AK10" s="26"/>
      <c r="AL10" s="26"/>
      <c r="AM10" s="26"/>
      <c r="AN10" s="26"/>
      <c r="AO10" s="26"/>
      <c r="AP10" s="26"/>
      <c r="AQ10" s="26"/>
      <c r="AR10" s="26"/>
      <c r="AS10" s="26"/>
      <c r="AT10" s="26"/>
      <c r="AU10" s="26"/>
      <c r="AV10" s="26"/>
      <c r="AW10" s="26"/>
      <c r="AX10" s="26"/>
      <c r="AY10" s="26"/>
      <c r="AZ10" s="26"/>
      <c r="BA10" s="26"/>
      <c r="BB10" s="26"/>
      <c r="BC10" s="26"/>
      <c r="BD10" s="26"/>
      <c r="BE10" s="26"/>
      <c r="BF10" s="26"/>
      <c r="BG10" s="26"/>
      <c r="BH10" s="26"/>
      <c r="BI10" s="26"/>
      <c r="BJ10" s="26"/>
      <c r="BK10" s="26"/>
      <c r="BL10" s="26"/>
      <c r="BM10" s="26"/>
      <c r="BN10" s="26"/>
      <c r="BO10" s="26"/>
      <c r="BP10" s="26"/>
      <c r="BQ10" s="56"/>
      <c r="BR10" s="56"/>
      <c r="BS10" s="56"/>
      <c r="BT10" s="56"/>
      <c r="BU10" s="56"/>
      <c r="BV10" s="56"/>
      <c r="BW10" s="56"/>
      <c r="BX10" s="56"/>
      <c r="BY10" s="57"/>
      <c r="BZ10" s="57"/>
      <c r="CA10" s="56"/>
      <c r="CB10" s="56"/>
      <c r="CC10" s="56"/>
      <c r="CD10" s="56"/>
      <c r="CE10" s="56"/>
      <c r="CF10" s="56"/>
      <c r="CG10" s="56"/>
      <c r="CH10"/>
      <c r="CI10"/>
      <c r="CJ10"/>
      <c r="CK10"/>
      <c r="CL10"/>
      <c r="CM10"/>
      <c r="CN10"/>
      <c r="CO10"/>
      <c r="CP10"/>
      <c r="CQ10"/>
      <c r="CR10"/>
      <c r="CS10"/>
      <c r="CT10"/>
      <c r="CU10"/>
      <c r="CV10"/>
      <c r="CW10"/>
      <c r="CX10"/>
      <c r="CY10"/>
      <c r="CZ10"/>
      <c r="DA10"/>
      <c r="DB10"/>
      <c r="DC10"/>
      <c r="DD10"/>
      <c r="DE10"/>
      <c r="DF10"/>
      <c r="DG10"/>
      <c r="DH10"/>
      <c r="DI10"/>
      <c r="DJ10"/>
      <c r="DK10"/>
      <c r="DL10"/>
      <c r="DM10"/>
      <c r="DN10"/>
      <c r="DO10"/>
      <c r="DP10"/>
      <c r="DQ10"/>
    </row>
    <row r="11" spans="1:121" s="3" customFormat="1" ht="30" customHeight="1" thickBot="1" x14ac:dyDescent="0.3">
      <c r="A11" s="30"/>
      <c r="B11" s="112" t="s">
        <v>69</v>
      </c>
      <c r="C11" s="36"/>
      <c r="D11" s="15">
        <v>1</v>
      </c>
      <c r="E11" s="53">
        <v>45895</v>
      </c>
      <c r="F11" s="53">
        <f>E11+1</f>
        <v>45896</v>
      </c>
      <c r="G11" s="70"/>
      <c r="H11" s="14">
        <f t="shared" si="17"/>
        <v>2</v>
      </c>
      <c r="I11" s="26"/>
      <c r="J11" s="26"/>
      <c r="K11" s="26"/>
      <c r="L11" s="26"/>
      <c r="M11" s="26"/>
      <c r="N11" s="26"/>
      <c r="O11" s="26"/>
      <c r="P11" s="26"/>
      <c r="Q11" s="26"/>
      <c r="R11" s="26"/>
      <c r="S11" s="26"/>
      <c r="T11" s="26"/>
      <c r="U11" s="26"/>
      <c r="V11" s="26"/>
      <c r="W11" s="26"/>
      <c r="X11" s="26"/>
      <c r="Y11" s="26"/>
      <c r="Z11" s="26"/>
      <c r="AA11" s="26"/>
      <c r="AB11" s="26"/>
      <c r="AC11" s="77"/>
      <c r="AD11" s="77"/>
      <c r="AE11" s="26"/>
      <c r="AF11" s="26"/>
      <c r="AG11" s="26"/>
      <c r="AH11" s="26"/>
      <c r="AI11" s="26"/>
      <c r="AJ11" s="26"/>
      <c r="AK11" s="26"/>
      <c r="AL11" s="26"/>
      <c r="AM11" s="26"/>
      <c r="AN11" s="26"/>
      <c r="AO11" s="26"/>
      <c r="AP11" s="26"/>
      <c r="AQ11" s="26"/>
      <c r="AR11" s="26"/>
      <c r="AS11" s="26"/>
      <c r="AT11" s="26"/>
      <c r="AU11" s="26"/>
      <c r="AV11" s="26"/>
      <c r="AW11" s="26"/>
      <c r="AX11" s="26"/>
      <c r="AY11" s="26"/>
      <c r="AZ11" s="26"/>
      <c r="BA11" s="26"/>
      <c r="BB11" s="26"/>
      <c r="BC11" s="26"/>
      <c r="BD11" s="26"/>
      <c r="BE11" s="26"/>
      <c r="BF11" s="26"/>
      <c r="BG11" s="26"/>
      <c r="BH11" s="26"/>
      <c r="BI11" s="26"/>
      <c r="BJ11" s="26"/>
      <c r="BK11" s="26"/>
      <c r="BL11" s="26"/>
      <c r="BM11" s="26"/>
      <c r="BN11" s="26"/>
      <c r="BO11" s="26"/>
      <c r="BP11" s="26"/>
      <c r="BQ11" s="56"/>
      <c r="BR11" s="56"/>
      <c r="BS11" s="56"/>
      <c r="BT11" s="56"/>
      <c r="BU11" s="56"/>
      <c r="BV11" s="56"/>
      <c r="BW11" s="56"/>
      <c r="BX11" s="56"/>
      <c r="BY11" s="56"/>
      <c r="BZ11" s="56"/>
      <c r="CA11" s="56"/>
      <c r="CB11" s="56"/>
      <c r="CC11" s="56"/>
      <c r="CD11" s="56"/>
      <c r="CE11" s="56"/>
      <c r="CF11" s="56"/>
      <c r="CG11" s="56"/>
      <c r="CH11"/>
      <c r="CI11"/>
      <c r="CJ11"/>
      <c r="CK11"/>
      <c r="CL11"/>
      <c r="CM11"/>
      <c r="CN11"/>
      <c r="CO11"/>
      <c r="CP11"/>
      <c r="CQ11"/>
      <c r="CR11"/>
      <c r="CS11"/>
      <c r="CT11"/>
      <c r="CU11"/>
      <c r="CV11"/>
      <c r="CW11"/>
      <c r="CX11"/>
      <c r="CY11"/>
      <c r="CZ11"/>
      <c r="DA11"/>
      <c r="DB11"/>
      <c r="DC11"/>
      <c r="DD11"/>
      <c r="DE11"/>
      <c r="DF11"/>
      <c r="DG11"/>
      <c r="DH11"/>
      <c r="DI11"/>
      <c r="DJ11"/>
      <c r="DK11"/>
      <c r="DL11"/>
      <c r="DM11"/>
      <c r="DN11"/>
      <c r="DO11"/>
      <c r="DP11"/>
      <c r="DQ11"/>
    </row>
    <row r="12" spans="1:121" s="3" customFormat="1" ht="30" customHeight="1" thickBot="1" x14ac:dyDescent="0.3">
      <c r="A12" s="30"/>
      <c r="B12" s="113" t="s">
        <v>70</v>
      </c>
      <c r="C12" s="36"/>
      <c r="D12" s="15">
        <v>1</v>
      </c>
      <c r="E12" s="53">
        <v>45896</v>
      </c>
      <c r="F12" s="53">
        <f>E12+1</f>
        <v>45897</v>
      </c>
      <c r="G12" s="70"/>
      <c r="H12" s="14"/>
      <c r="I12" s="26"/>
      <c r="J12" s="26"/>
      <c r="K12" s="26"/>
      <c r="L12" s="26"/>
      <c r="M12" s="26"/>
      <c r="N12" s="26"/>
      <c r="O12" s="26"/>
      <c r="P12" s="26"/>
      <c r="Q12" s="26"/>
      <c r="R12" s="26"/>
      <c r="S12" s="26"/>
      <c r="T12" s="26"/>
      <c r="U12" s="26"/>
      <c r="V12" s="26"/>
      <c r="W12" s="26"/>
      <c r="X12" s="26"/>
      <c r="Y12" s="26"/>
      <c r="Z12" s="26"/>
      <c r="AA12" s="26"/>
      <c r="AB12" s="26"/>
      <c r="AC12" s="77"/>
      <c r="AD12" s="77"/>
      <c r="AE12" s="26"/>
      <c r="AF12" s="26"/>
      <c r="AG12" s="26"/>
      <c r="AH12" s="26"/>
      <c r="AI12" s="26"/>
      <c r="AJ12" s="26"/>
      <c r="AK12" s="26"/>
      <c r="AL12" s="26"/>
      <c r="AM12" s="26"/>
      <c r="AN12" s="26"/>
      <c r="AO12" s="26"/>
      <c r="AP12" s="26"/>
      <c r="AQ12" s="26"/>
      <c r="AR12" s="26"/>
      <c r="AS12" s="26"/>
      <c r="AT12" s="26"/>
      <c r="AU12" s="26"/>
      <c r="AV12" s="26"/>
      <c r="AW12" s="26"/>
      <c r="AX12" s="26"/>
      <c r="AY12" s="26"/>
      <c r="AZ12" s="26"/>
      <c r="BA12" s="26"/>
      <c r="BB12" s="26"/>
      <c r="BC12" s="26"/>
      <c r="BD12" s="26"/>
      <c r="BE12" s="26"/>
      <c r="BF12" s="26"/>
      <c r="BG12" s="26"/>
      <c r="BH12" s="26"/>
      <c r="BI12" s="26"/>
      <c r="BJ12" s="26"/>
      <c r="BK12" s="26"/>
      <c r="BL12" s="26"/>
      <c r="BM12" s="26"/>
      <c r="BN12" s="26"/>
      <c r="BO12" s="26"/>
      <c r="BP12" s="26"/>
      <c r="BQ12" s="56"/>
      <c r="BR12" s="56"/>
      <c r="BS12" s="56"/>
      <c r="BT12" s="56"/>
      <c r="BU12" s="56"/>
      <c r="BV12" s="56"/>
      <c r="BW12" s="56"/>
      <c r="BX12" s="56"/>
      <c r="BY12" s="56"/>
      <c r="BZ12" s="56"/>
      <c r="CA12" s="56"/>
      <c r="CB12" s="56"/>
      <c r="CC12" s="56"/>
      <c r="CD12" s="56"/>
      <c r="CE12" s="56"/>
      <c r="CF12" s="56"/>
      <c r="CG12" s="56"/>
      <c r="CH12"/>
      <c r="CI12"/>
      <c r="CJ12"/>
      <c r="CK12"/>
      <c r="CL12"/>
      <c r="CM12"/>
      <c r="CN12"/>
      <c r="CO12"/>
      <c r="CP12"/>
      <c r="CQ12"/>
      <c r="CR12"/>
      <c r="CS12"/>
      <c r="CT12"/>
      <c r="CU12"/>
      <c r="CV12"/>
      <c r="CW12"/>
      <c r="CX12"/>
      <c r="CY12"/>
      <c r="CZ12"/>
      <c r="DA12"/>
      <c r="DB12"/>
      <c r="DC12"/>
      <c r="DD12"/>
      <c r="DE12"/>
      <c r="DF12"/>
      <c r="DG12"/>
      <c r="DH12"/>
      <c r="DI12"/>
      <c r="DJ12"/>
      <c r="DK12"/>
      <c r="DL12"/>
      <c r="DM12"/>
      <c r="DN12"/>
      <c r="DO12"/>
      <c r="DP12"/>
      <c r="DQ12"/>
    </row>
    <row r="13" spans="1:121" s="3" customFormat="1" ht="30" customHeight="1" thickBot="1" x14ac:dyDescent="0.3">
      <c r="A13" s="30"/>
      <c r="B13" s="113" t="s">
        <v>71</v>
      </c>
      <c r="C13" s="36"/>
      <c r="D13" s="15">
        <v>1</v>
      </c>
      <c r="E13" s="53">
        <v>45896</v>
      </c>
      <c r="F13" s="53">
        <f>E13+1</f>
        <v>45897</v>
      </c>
      <c r="G13" s="70"/>
      <c r="H13" s="14"/>
      <c r="I13" s="26"/>
      <c r="J13" s="26"/>
      <c r="K13" s="26"/>
      <c r="L13" s="26"/>
      <c r="M13" s="26"/>
      <c r="N13" s="26"/>
      <c r="O13" s="26"/>
      <c r="P13" s="26"/>
      <c r="Q13" s="26"/>
      <c r="R13" s="26"/>
      <c r="S13" s="26"/>
      <c r="T13" s="26"/>
      <c r="U13" s="26"/>
      <c r="V13" s="26"/>
      <c r="W13" s="26"/>
      <c r="X13" s="26"/>
      <c r="Y13" s="26"/>
      <c r="Z13" s="26"/>
      <c r="AA13" s="26"/>
      <c r="AB13" s="26"/>
      <c r="AC13" s="77"/>
      <c r="AD13" s="77"/>
      <c r="AE13" s="26"/>
      <c r="AF13" s="26"/>
      <c r="AG13" s="26"/>
      <c r="AH13" s="26"/>
      <c r="AI13" s="26"/>
      <c r="AJ13" s="26"/>
      <c r="AK13" s="26"/>
      <c r="AL13" s="26"/>
      <c r="AM13" s="26"/>
      <c r="AN13" s="26"/>
      <c r="AO13" s="26"/>
      <c r="AP13" s="26"/>
      <c r="AQ13" s="26"/>
      <c r="AR13" s="26"/>
      <c r="AS13" s="26"/>
      <c r="AT13" s="26"/>
      <c r="AU13" s="26"/>
      <c r="AV13" s="26"/>
      <c r="AW13" s="26"/>
      <c r="AX13" s="26"/>
      <c r="AY13" s="26"/>
      <c r="AZ13" s="26"/>
      <c r="BA13" s="26"/>
      <c r="BB13" s="26"/>
      <c r="BC13" s="26"/>
      <c r="BD13" s="26"/>
      <c r="BE13" s="26"/>
      <c r="BF13" s="26"/>
      <c r="BG13" s="26"/>
      <c r="BH13" s="26"/>
      <c r="BI13" s="26"/>
      <c r="BJ13" s="26"/>
      <c r="BK13" s="26"/>
      <c r="BL13" s="26"/>
      <c r="BM13" s="26"/>
      <c r="BN13" s="26"/>
      <c r="BO13" s="26"/>
      <c r="BP13" s="26"/>
      <c r="BQ13" s="56"/>
      <c r="BR13" s="56"/>
      <c r="BS13" s="56"/>
      <c r="BT13" s="56"/>
      <c r="BU13" s="56"/>
      <c r="BV13" s="56"/>
      <c r="BW13" s="56"/>
      <c r="BX13" s="56"/>
      <c r="BY13" s="56"/>
      <c r="BZ13" s="56"/>
      <c r="CA13" s="56"/>
      <c r="CB13" s="56"/>
      <c r="CC13" s="56"/>
      <c r="CD13" s="56"/>
      <c r="CE13" s="56"/>
      <c r="CF13" s="56"/>
      <c r="CG13" s="56"/>
      <c r="CH13"/>
      <c r="CI13"/>
      <c r="CJ13"/>
      <c r="CK13"/>
      <c r="CL13"/>
      <c r="CM13"/>
      <c r="CN13"/>
      <c r="CO13"/>
      <c r="CP13"/>
      <c r="CQ13"/>
      <c r="CR13"/>
      <c r="CS13"/>
      <c r="CT13"/>
      <c r="CU13"/>
      <c r="CV13"/>
      <c r="CW13"/>
      <c r="CX13"/>
      <c r="CY13"/>
      <c r="CZ13"/>
      <c r="DA13"/>
      <c r="DB13"/>
      <c r="DC13"/>
      <c r="DD13"/>
      <c r="DE13"/>
      <c r="DF13"/>
      <c r="DG13"/>
      <c r="DH13"/>
      <c r="DI13"/>
      <c r="DJ13"/>
      <c r="DK13"/>
      <c r="DL13"/>
      <c r="DM13"/>
      <c r="DN13"/>
      <c r="DO13"/>
      <c r="DP13"/>
      <c r="DQ13"/>
    </row>
    <row r="14" spans="1:121" s="3" customFormat="1" ht="30" customHeight="1" thickBot="1" x14ac:dyDescent="0.3">
      <c r="A14" s="30"/>
      <c r="B14" s="108" t="s">
        <v>72</v>
      </c>
      <c r="C14" s="36"/>
      <c r="D14" s="15">
        <v>1</v>
      </c>
      <c r="E14" s="53">
        <v>45898</v>
      </c>
      <c r="F14" s="53">
        <v>45898</v>
      </c>
      <c r="G14" s="70"/>
      <c r="H14" s="14">
        <f t="shared" si="17"/>
        <v>1</v>
      </c>
      <c r="I14" s="26"/>
      <c r="J14" s="26"/>
      <c r="K14" s="26"/>
      <c r="L14" s="26"/>
      <c r="M14" s="26"/>
      <c r="N14" s="26"/>
      <c r="O14" s="26"/>
      <c r="P14" s="26"/>
      <c r="Q14" s="26"/>
      <c r="R14" s="26"/>
      <c r="S14" s="26"/>
      <c r="T14" s="26"/>
      <c r="U14" s="26"/>
      <c r="V14" s="26"/>
      <c r="W14" s="26"/>
      <c r="X14" s="26"/>
      <c r="Y14" s="27"/>
      <c r="Z14" s="26"/>
      <c r="AA14" s="26"/>
      <c r="AB14" s="26"/>
      <c r="AC14" s="77"/>
      <c r="AD14" s="77"/>
      <c r="AE14" s="26"/>
      <c r="AF14" s="26"/>
      <c r="AG14" s="26"/>
      <c r="AH14" s="26"/>
      <c r="AI14" s="26"/>
      <c r="AJ14" s="26"/>
      <c r="AK14" s="26"/>
      <c r="AL14" s="26"/>
      <c r="AM14" s="26"/>
      <c r="AN14" s="26"/>
      <c r="AO14" s="26"/>
      <c r="AP14" s="26"/>
      <c r="AQ14" s="26"/>
      <c r="AR14" s="26"/>
      <c r="AS14" s="26"/>
      <c r="AT14" s="26"/>
      <c r="AU14" s="26"/>
      <c r="AV14" s="26"/>
      <c r="AW14" s="26"/>
      <c r="AX14" s="26"/>
      <c r="AY14" s="26"/>
      <c r="AZ14" s="26"/>
      <c r="BA14" s="26"/>
      <c r="BB14" s="26"/>
      <c r="BC14" s="26"/>
      <c r="BD14" s="26"/>
      <c r="BE14" s="26"/>
      <c r="BF14" s="26"/>
      <c r="BG14" s="26"/>
      <c r="BH14" s="26"/>
      <c r="BI14" s="26"/>
      <c r="BJ14" s="26"/>
      <c r="BK14" s="26"/>
      <c r="BL14" s="26"/>
      <c r="BM14" s="26"/>
      <c r="BN14" s="26"/>
      <c r="BO14" s="26"/>
      <c r="BP14" s="26"/>
      <c r="BQ14" s="56"/>
      <c r="BR14" s="56"/>
      <c r="BS14" s="56"/>
      <c r="BT14" s="56"/>
      <c r="BU14" s="56"/>
      <c r="BV14" s="56"/>
      <c r="BW14" s="56"/>
      <c r="BX14" s="56"/>
      <c r="BY14" s="56"/>
      <c r="BZ14" s="56"/>
      <c r="CA14" s="56"/>
      <c r="CB14" s="56"/>
      <c r="CC14" s="57"/>
      <c r="CD14" s="56"/>
      <c r="CE14" s="56"/>
      <c r="CF14" s="56"/>
      <c r="CG14" s="56"/>
      <c r="CH14"/>
      <c r="CI14"/>
      <c r="CJ14"/>
      <c r="CK14"/>
      <c r="CL14"/>
      <c r="CM14"/>
      <c r="CN14"/>
      <c r="CO14"/>
      <c r="CP14"/>
      <c r="CQ14"/>
      <c r="CR14"/>
      <c r="CS14"/>
      <c r="CT14"/>
      <c r="CU14"/>
      <c r="CV14"/>
      <c r="CW14"/>
      <c r="CX14"/>
      <c r="CY14"/>
      <c r="CZ14"/>
      <c r="DA14"/>
      <c r="DB14"/>
      <c r="DC14"/>
      <c r="DD14"/>
      <c r="DE14"/>
      <c r="DF14"/>
      <c r="DG14"/>
      <c r="DH14"/>
      <c r="DI14"/>
      <c r="DJ14"/>
      <c r="DK14"/>
      <c r="DL14"/>
      <c r="DM14"/>
      <c r="DN14"/>
      <c r="DO14"/>
      <c r="DP14"/>
      <c r="DQ14"/>
    </row>
    <row r="15" spans="1:121" s="3" customFormat="1" ht="30" customHeight="1" thickBot="1" x14ac:dyDescent="0.3">
      <c r="A15" s="30"/>
      <c r="B15" s="113" t="s">
        <v>73</v>
      </c>
      <c r="C15" s="36"/>
      <c r="D15" s="15">
        <v>1</v>
      </c>
      <c r="E15" s="53">
        <v>45898</v>
      </c>
      <c r="F15" s="53">
        <v>45903</v>
      </c>
      <c r="G15" s="70"/>
      <c r="H15" s="14"/>
      <c r="I15" s="26"/>
      <c r="J15" s="26"/>
      <c r="K15" s="26"/>
      <c r="L15" s="26"/>
      <c r="M15" s="26"/>
      <c r="N15" s="26"/>
      <c r="O15" s="26"/>
      <c r="P15" s="26"/>
      <c r="Q15" s="26"/>
      <c r="R15" s="26"/>
      <c r="S15" s="26"/>
      <c r="T15" s="26"/>
      <c r="U15" s="26"/>
      <c r="V15" s="26"/>
      <c r="W15" s="26"/>
      <c r="X15" s="26"/>
      <c r="Y15" s="27"/>
      <c r="Z15" s="26"/>
      <c r="AA15" s="26"/>
      <c r="AB15" s="26"/>
      <c r="AC15" s="77"/>
      <c r="AD15" s="77"/>
      <c r="AE15" s="26"/>
      <c r="AF15" s="26"/>
      <c r="AG15" s="26"/>
      <c r="AH15" s="26"/>
      <c r="AI15" s="26"/>
      <c r="AJ15" s="26"/>
      <c r="AK15" s="26"/>
      <c r="AL15" s="26"/>
      <c r="AM15" s="26"/>
      <c r="AN15" s="26"/>
      <c r="AO15" s="26"/>
      <c r="AP15" s="26"/>
      <c r="AQ15" s="26"/>
      <c r="AR15" s="26"/>
      <c r="AS15" s="26"/>
      <c r="AT15" s="26"/>
      <c r="AU15" s="26"/>
      <c r="AV15" s="26"/>
      <c r="AW15" s="26"/>
      <c r="AX15" s="26"/>
      <c r="AY15" s="26"/>
      <c r="AZ15" s="26"/>
      <c r="BA15" s="26"/>
      <c r="BB15" s="26"/>
      <c r="BC15" s="26"/>
      <c r="BD15" s="26"/>
      <c r="BE15" s="26"/>
      <c r="BF15" s="26"/>
      <c r="BG15" s="26"/>
      <c r="BH15" s="26"/>
      <c r="BI15" s="26"/>
      <c r="BJ15" s="26"/>
      <c r="BK15" s="26"/>
      <c r="BL15" s="26"/>
      <c r="BM15" s="26"/>
      <c r="BN15" s="26"/>
      <c r="BO15" s="26"/>
      <c r="BP15" s="26"/>
      <c r="BQ15" s="56"/>
      <c r="BR15" s="56"/>
      <c r="BS15" s="56"/>
      <c r="BT15" s="56"/>
      <c r="BU15" s="56"/>
      <c r="BV15" s="56"/>
      <c r="BW15" s="56"/>
      <c r="BX15" s="56"/>
      <c r="BY15" s="56"/>
      <c r="BZ15" s="56"/>
      <c r="CA15" s="56"/>
      <c r="CB15" s="56"/>
      <c r="CC15" s="57"/>
      <c r="CD15" s="56"/>
      <c r="CE15" s="56"/>
      <c r="CF15" s="56"/>
      <c r="CG15" s="56"/>
      <c r="CH15"/>
      <c r="CI15"/>
      <c r="CJ15"/>
      <c r="CK15"/>
      <c r="CL15"/>
      <c r="CM15"/>
      <c r="CN15"/>
      <c r="CO15"/>
      <c r="CP15"/>
      <c r="CQ15"/>
      <c r="CR15"/>
      <c r="CS15"/>
      <c r="CT15"/>
      <c r="CU15"/>
      <c r="CV15"/>
      <c r="CW15"/>
      <c r="CX15"/>
      <c r="CY15"/>
      <c r="CZ15"/>
      <c r="DA15"/>
      <c r="DB15"/>
      <c r="DC15"/>
      <c r="DD15"/>
      <c r="DE15"/>
      <c r="DF15"/>
      <c r="DG15"/>
      <c r="DH15"/>
      <c r="DI15"/>
      <c r="DJ15"/>
      <c r="DK15"/>
      <c r="DL15"/>
      <c r="DM15"/>
      <c r="DN15"/>
      <c r="DO15"/>
      <c r="DP15"/>
      <c r="DQ15"/>
    </row>
    <row r="16" spans="1:121" s="3" customFormat="1" ht="30" customHeight="1" thickBot="1" x14ac:dyDescent="0.3">
      <c r="A16" s="30"/>
      <c r="B16" s="113" t="s">
        <v>74</v>
      </c>
      <c r="C16" s="36"/>
      <c r="D16" s="15">
        <v>1</v>
      </c>
      <c r="E16" s="53">
        <v>45898</v>
      </c>
      <c r="F16" s="53">
        <v>45911</v>
      </c>
      <c r="G16" s="70"/>
      <c r="H16" s="14"/>
      <c r="I16" s="26"/>
      <c r="J16" s="26"/>
      <c r="K16" s="26"/>
      <c r="L16" s="26"/>
      <c r="M16" s="26"/>
      <c r="N16" s="26"/>
      <c r="O16" s="26"/>
      <c r="P16" s="26"/>
      <c r="Q16" s="26"/>
      <c r="R16" s="26"/>
      <c r="S16" s="26"/>
      <c r="T16" s="26"/>
      <c r="U16" s="26"/>
      <c r="V16" s="26"/>
      <c r="W16" s="26"/>
      <c r="X16" s="26"/>
      <c r="Y16" s="27"/>
      <c r="Z16" s="26"/>
      <c r="AA16" s="26"/>
      <c r="AB16" s="26"/>
      <c r="AC16" s="77"/>
      <c r="AD16" s="77"/>
      <c r="AE16" s="26"/>
      <c r="AF16" s="26"/>
      <c r="AG16" s="26"/>
      <c r="AH16" s="26"/>
      <c r="AI16" s="26"/>
      <c r="AJ16" s="26"/>
      <c r="AK16" s="26"/>
      <c r="AL16" s="26"/>
      <c r="AM16" s="26"/>
      <c r="AN16" s="26"/>
      <c r="AO16" s="26"/>
      <c r="AP16" s="26"/>
      <c r="AQ16" s="26"/>
      <c r="AR16" s="26"/>
      <c r="AS16" s="26"/>
      <c r="AT16" s="26"/>
      <c r="AU16" s="26"/>
      <c r="AV16" s="26"/>
      <c r="AW16" s="26"/>
      <c r="AX16" s="26"/>
      <c r="AY16" s="26"/>
      <c r="AZ16" s="26"/>
      <c r="BA16" s="26"/>
      <c r="BB16" s="26"/>
      <c r="BC16" s="26"/>
      <c r="BD16" s="26"/>
      <c r="BE16" s="26"/>
      <c r="BF16" s="26"/>
      <c r="BG16" s="26"/>
      <c r="BH16" s="26"/>
      <c r="BI16" s="26"/>
      <c r="BJ16" s="26"/>
      <c r="BK16" s="26"/>
      <c r="BL16" s="26"/>
      <c r="BM16" s="26"/>
      <c r="BN16" s="26"/>
      <c r="BO16" s="26"/>
      <c r="BP16" s="26"/>
      <c r="BQ16" s="56"/>
      <c r="BR16" s="56"/>
      <c r="BS16" s="56"/>
      <c r="BT16" s="56"/>
      <c r="BU16" s="56"/>
      <c r="BV16" s="56"/>
      <c r="BW16" s="56"/>
      <c r="BX16" s="56"/>
      <c r="BY16" s="56"/>
      <c r="BZ16" s="56"/>
      <c r="CA16" s="56"/>
      <c r="CB16" s="56"/>
      <c r="CC16" s="57"/>
      <c r="CD16" s="56"/>
      <c r="CE16" s="56"/>
      <c r="CF16" s="56"/>
      <c r="CG16" s="56"/>
      <c r="CH16"/>
      <c r="CI16"/>
      <c r="CJ16"/>
      <c r="CK16"/>
      <c r="CL16"/>
      <c r="CM16"/>
      <c r="CN16"/>
      <c r="CO16"/>
      <c r="CP16"/>
      <c r="CQ16"/>
      <c r="CR16"/>
      <c r="CS16"/>
      <c r="CT16"/>
      <c r="CU16"/>
      <c r="CV16"/>
      <c r="CW16"/>
      <c r="CX16"/>
      <c r="CY16"/>
      <c r="CZ16"/>
      <c r="DA16"/>
      <c r="DB16"/>
      <c r="DC16"/>
      <c r="DD16"/>
      <c r="DE16"/>
      <c r="DF16"/>
      <c r="DG16"/>
      <c r="DH16"/>
      <c r="DI16"/>
      <c r="DJ16"/>
      <c r="DK16"/>
      <c r="DL16"/>
      <c r="DM16"/>
      <c r="DN16"/>
      <c r="DO16"/>
      <c r="DP16"/>
      <c r="DQ16"/>
    </row>
    <row r="17" spans="1:121" s="3" customFormat="1" ht="30" customHeight="1" thickBot="1" x14ac:dyDescent="0.3">
      <c r="A17" s="30"/>
      <c r="B17" s="109" t="s">
        <v>22</v>
      </c>
      <c r="C17" s="61"/>
      <c r="D17" s="15">
        <v>1</v>
      </c>
      <c r="E17" s="53">
        <v>45901</v>
      </c>
      <c r="F17" s="53">
        <v>45904</v>
      </c>
      <c r="G17" s="70"/>
      <c r="H17" s="14">
        <f t="shared" si="17"/>
        <v>4</v>
      </c>
      <c r="I17" s="26"/>
      <c r="J17" s="26"/>
      <c r="K17" s="26"/>
      <c r="L17" s="26"/>
      <c r="M17" s="26"/>
      <c r="N17" s="26"/>
      <c r="O17" s="26"/>
      <c r="P17" s="26"/>
      <c r="Q17" s="26"/>
      <c r="R17" s="26"/>
      <c r="S17" s="26"/>
      <c r="T17" s="26"/>
      <c r="U17" s="26"/>
      <c r="V17" s="26"/>
      <c r="W17" s="26"/>
      <c r="X17" s="26"/>
      <c r="Y17" s="26"/>
      <c r="Z17" s="26"/>
      <c r="AA17" s="26"/>
      <c r="AB17" s="26"/>
      <c r="AC17" s="77"/>
      <c r="AD17" s="77"/>
      <c r="AE17" s="26"/>
      <c r="AF17" s="26"/>
      <c r="AG17" s="26"/>
      <c r="AH17" s="26"/>
      <c r="AI17" s="26"/>
      <c r="AJ17" s="26"/>
      <c r="AK17" s="26"/>
      <c r="AL17" s="26"/>
      <c r="AM17" s="26"/>
      <c r="AN17" s="26"/>
      <c r="AO17" s="26"/>
      <c r="AP17" s="26"/>
      <c r="AQ17" s="26"/>
      <c r="AR17" s="26"/>
      <c r="AS17" s="26"/>
      <c r="AT17" s="26"/>
      <c r="AU17" s="26"/>
      <c r="AV17" s="26"/>
      <c r="AW17" s="26"/>
      <c r="AX17" s="26"/>
      <c r="AY17" s="26"/>
      <c r="AZ17" s="26"/>
      <c r="BA17" s="26"/>
      <c r="BB17" s="26"/>
      <c r="BC17" s="26"/>
      <c r="BD17" s="26"/>
      <c r="BE17" s="26"/>
      <c r="BF17" s="26"/>
      <c r="BG17" s="26"/>
      <c r="BH17" s="26"/>
      <c r="BI17" s="26"/>
      <c r="BJ17" s="26"/>
      <c r="BK17" s="26"/>
      <c r="BL17" s="26"/>
      <c r="BM17" s="26"/>
      <c r="BN17" s="26"/>
      <c r="BO17" s="26"/>
      <c r="BP17" s="26"/>
      <c r="BQ17" s="56"/>
      <c r="BR17" s="56"/>
      <c r="BS17" s="56"/>
      <c r="BT17" s="56"/>
      <c r="BU17" s="56"/>
      <c r="BV17" s="56"/>
      <c r="BW17" s="56"/>
      <c r="BX17" s="56"/>
      <c r="BY17" s="56"/>
      <c r="BZ17" s="56"/>
      <c r="CA17" s="56"/>
      <c r="CB17" s="56"/>
      <c r="CC17" s="56"/>
      <c r="CD17" s="56"/>
      <c r="CE17" s="56"/>
      <c r="CF17" s="56"/>
      <c r="CG17" s="56"/>
      <c r="CH17"/>
      <c r="CI17"/>
      <c r="CJ17"/>
      <c r="CK17"/>
      <c r="CL17"/>
      <c r="CM17"/>
      <c r="CN17"/>
      <c r="CO17"/>
      <c r="CP17"/>
      <c r="CQ17"/>
      <c r="CR17"/>
      <c r="CS17"/>
      <c r="CT17"/>
      <c r="CU17"/>
      <c r="CV17"/>
      <c r="CW17"/>
      <c r="CX17"/>
      <c r="CY17"/>
      <c r="CZ17"/>
      <c r="DA17"/>
      <c r="DB17"/>
      <c r="DC17"/>
      <c r="DD17"/>
      <c r="DE17"/>
      <c r="DF17"/>
      <c r="DG17"/>
      <c r="DH17"/>
      <c r="DI17"/>
      <c r="DJ17"/>
      <c r="DK17"/>
      <c r="DL17"/>
      <c r="DM17"/>
      <c r="DN17"/>
      <c r="DO17"/>
      <c r="DP17"/>
      <c r="DQ17"/>
    </row>
    <row r="18" spans="1:121" s="3" customFormat="1" ht="30" customHeight="1" thickBot="1" x14ac:dyDescent="0.3">
      <c r="A18" s="30"/>
      <c r="B18" s="109" t="s">
        <v>23</v>
      </c>
      <c r="C18" s="61"/>
      <c r="D18" s="15">
        <v>1</v>
      </c>
      <c r="E18" s="53">
        <v>45901</v>
      </c>
      <c r="F18" s="53">
        <v>45904</v>
      </c>
      <c r="G18" s="70"/>
      <c r="H18" s="14"/>
      <c r="I18" s="26"/>
      <c r="J18" s="26"/>
      <c r="K18" s="26"/>
      <c r="L18" s="26"/>
      <c r="M18" s="26"/>
      <c r="N18" s="26"/>
      <c r="O18" s="26"/>
      <c r="P18" s="26"/>
      <c r="Q18" s="26"/>
      <c r="R18" s="26"/>
      <c r="S18" s="26"/>
      <c r="T18" s="26"/>
      <c r="U18" s="26"/>
      <c r="V18" s="26"/>
      <c r="W18" s="26"/>
      <c r="X18" s="26"/>
      <c r="Y18" s="26"/>
      <c r="Z18" s="26"/>
      <c r="AA18" s="26"/>
      <c r="AB18" s="26"/>
      <c r="AC18" s="77"/>
      <c r="AD18" s="77"/>
      <c r="AE18" s="26"/>
      <c r="AF18" s="26"/>
      <c r="AG18" s="26"/>
      <c r="AH18" s="26"/>
      <c r="AI18" s="26"/>
      <c r="AJ18" s="26"/>
      <c r="AK18" s="26"/>
      <c r="AL18" s="26"/>
      <c r="AM18" s="26"/>
      <c r="AN18" s="26"/>
      <c r="AO18" s="26"/>
      <c r="AP18" s="26"/>
      <c r="AQ18" s="26"/>
      <c r="AR18" s="26"/>
      <c r="AS18" s="26"/>
      <c r="AT18" s="26"/>
      <c r="AU18" s="26"/>
      <c r="AV18" s="26"/>
      <c r="AW18" s="26"/>
      <c r="AX18" s="26"/>
      <c r="AY18" s="26"/>
      <c r="AZ18" s="26"/>
      <c r="BA18" s="26"/>
      <c r="BB18" s="26"/>
      <c r="BC18" s="26"/>
      <c r="BD18" s="26"/>
      <c r="BE18" s="26"/>
      <c r="BF18" s="26"/>
      <c r="BG18" s="26"/>
      <c r="BH18" s="26"/>
      <c r="BI18" s="26"/>
      <c r="BJ18" s="26"/>
      <c r="BK18" s="26"/>
      <c r="BL18" s="26"/>
      <c r="BM18" s="26"/>
      <c r="BN18" s="26"/>
      <c r="BO18" s="26"/>
      <c r="BP18" s="26"/>
      <c r="BQ18" s="56"/>
      <c r="BR18" s="56"/>
      <c r="BS18" s="56"/>
      <c r="BT18" s="56"/>
      <c r="BU18" s="56"/>
      <c r="BV18" s="56"/>
      <c r="BW18" s="56"/>
      <c r="BX18" s="56"/>
      <c r="BY18" s="56"/>
      <c r="BZ18" s="56"/>
      <c r="CA18" s="56"/>
      <c r="CB18" s="56"/>
      <c r="CC18" s="56"/>
      <c r="CD18" s="56"/>
      <c r="CE18" s="56"/>
      <c r="CF18" s="56"/>
      <c r="CG18" s="56"/>
      <c r="CH18"/>
      <c r="CI18"/>
      <c r="CJ18"/>
      <c r="CK18"/>
      <c r="CL18"/>
      <c r="CM18"/>
      <c r="CN18"/>
      <c r="CO18"/>
      <c r="CP18"/>
      <c r="CQ18"/>
      <c r="CR18"/>
      <c r="CS18"/>
      <c r="CT18"/>
      <c r="CU18"/>
      <c r="CV18"/>
      <c r="CW18"/>
      <c r="CX18"/>
      <c r="CY18"/>
      <c r="CZ18"/>
      <c r="DA18"/>
      <c r="DB18"/>
      <c r="DC18"/>
      <c r="DD18"/>
      <c r="DE18"/>
      <c r="DF18"/>
      <c r="DG18"/>
      <c r="DH18"/>
      <c r="DI18"/>
      <c r="DJ18"/>
      <c r="DK18"/>
      <c r="DL18"/>
      <c r="DM18"/>
      <c r="DN18"/>
      <c r="DO18"/>
      <c r="DP18"/>
      <c r="DQ18"/>
    </row>
    <row r="19" spans="1:121" s="3" customFormat="1" ht="30" customHeight="1" thickBot="1" x14ac:dyDescent="0.3">
      <c r="A19" s="30"/>
      <c r="B19" s="109" t="s">
        <v>24</v>
      </c>
      <c r="C19" s="61"/>
      <c r="D19" s="15">
        <v>1</v>
      </c>
      <c r="E19" s="53">
        <v>45905</v>
      </c>
      <c r="F19" s="53">
        <v>45909</v>
      </c>
      <c r="G19" s="70"/>
      <c r="H19" s="14"/>
      <c r="I19" s="26"/>
      <c r="J19" s="26"/>
      <c r="K19" s="26"/>
      <c r="L19" s="26"/>
      <c r="M19" s="26"/>
      <c r="N19" s="26"/>
      <c r="O19" s="26"/>
      <c r="P19" s="26"/>
      <c r="Q19" s="26"/>
      <c r="R19" s="26"/>
      <c r="S19" s="26"/>
      <c r="T19" s="26"/>
      <c r="U19" s="26"/>
      <c r="V19" s="26"/>
      <c r="W19" s="26"/>
      <c r="X19" s="26"/>
      <c r="Y19" s="26"/>
      <c r="Z19" s="26"/>
      <c r="AA19" s="26"/>
      <c r="AB19" s="26"/>
      <c r="AC19" s="77"/>
      <c r="AD19" s="77"/>
      <c r="AE19" s="26"/>
      <c r="AF19" s="26"/>
      <c r="AG19" s="26"/>
      <c r="AH19" s="26"/>
      <c r="AI19" s="26"/>
      <c r="AJ19" s="26"/>
      <c r="AK19" s="26"/>
      <c r="AL19" s="26"/>
      <c r="AM19" s="26"/>
      <c r="AN19" s="26"/>
      <c r="AO19" s="26"/>
      <c r="AP19" s="26"/>
      <c r="AQ19" s="26"/>
      <c r="AR19" s="26"/>
      <c r="AS19" s="26"/>
      <c r="AT19" s="26"/>
      <c r="AU19" s="26"/>
      <c r="AV19" s="26"/>
      <c r="AW19" s="26"/>
      <c r="AX19" s="26"/>
      <c r="AY19" s="26"/>
      <c r="AZ19" s="26"/>
      <c r="BA19" s="26"/>
      <c r="BB19" s="26"/>
      <c r="BC19" s="26"/>
      <c r="BD19" s="26"/>
      <c r="BE19" s="26"/>
      <c r="BF19" s="26"/>
      <c r="BG19" s="26"/>
      <c r="BH19" s="26"/>
      <c r="BI19" s="26"/>
      <c r="BJ19" s="26"/>
      <c r="BK19" s="26"/>
      <c r="BL19" s="26"/>
      <c r="BM19" s="26"/>
      <c r="BN19" s="26"/>
      <c r="BO19" s="26"/>
      <c r="BP19" s="26"/>
      <c r="BQ19" s="56"/>
      <c r="BR19" s="56"/>
      <c r="BS19" s="56"/>
      <c r="BT19" s="56"/>
      <c r="BU19" s="56"/>
      <c r="BV19" s="56"/>
      <c r="BW19" s="56"/>
      <c r="BX19" s="56"/>
      <c r="BY19" s="56"/>
      <c r="BZ19" s="56"/>
      <c r="CA19" s="56"/>
      <c r="CB19" s="56"/>
      <c r="CC19" s="56"/>
      <c r="CD19" s="56"/>
      <c r="CE19" s="56"/>
      <c r="CF19" s="56"/>
      <c r="CG19" s="56"/>
      <c r="CH19"/>
      <c r="CI19"/>
      <c r="CJ19"/>
      <c r="CK19"/>
      <c r="CL19"/>
      <c r="CM19"/>
      <c r="CN19"/>
      <c r="CO19"/>
      <c r="CP19"/>
      <c r="CQ19"/>
      <c r="CR19"/>
      <c r="CS19"/>
      <c r="CT19"/>
      <c r="CU19"/>
      <c r="CV19"/>
      <c r="CW19"/>
      <c r="CX19"/>
      <c r="CY19"/>
      <c r="CZ19"/>
      <c r="DA19"/>
      <c r="DB19"/>
      <c r="DC19"/>
      <c r="DD19"/>
      <c r="DE19"/>
      <c r="DF19"/>
      <c r="DG19"/>
      <c r="DH19"/>
      <c r="DI19"/>
      <c r="DJ19"/>
      <c r="DK19"/>
      <c r="DL19"/>
      <c r="DM19"/>
      <c r="DN19"/>
      <c r="DO19"/>
      <c r="DP19"/>
      <c r="DQ19"/>
    </row>
    <row r="20" spans="1:121" s="3" customFormat="1" ht="30" customHeight="1" thickBot="1" x14ac:dyDescent="0.3">
      <c r="A20" s="30"/>
      <c r="B20" s="110" t="s">
        <v>25</v>
      </c>
      <c r="C20" s="61"/>
      <c r="D20" s="15">
        <v>0.9</v>
      </c>
      <c r="E20" s="53">
        <v>45908</v>
      </c>
      <c r="F20" s="53">
        <v>45911</v>
      </c>
      <c r="G20" s="70"/>
      <c r="H20" s="14"/>
      <c r="I20" s="26"/>
      <c r="J20" s="26"/>
      <c r="K20" s="26"/>
      <c r="L20" s="26"/>
      <c r="M20" s="26"/>
      <c r="N20" s="26"/>
      <c r="O20" s="26"/>
      <c r="P20" s="26"/>
      <c r="Q20" s="26"/>
      <c r="R20" s="26"/>
      <c r="S20" s="26"/>
      <c r="T20" s="26"/>
      <c r="U20" s="26"/>
      <c r="V20" s="26"/>
      <c r="W20" s="26"/>
      <c r="X20" s="26"/>
      <c r="Y20" s="26"/>
      <c r="Z20" s="26"/>
      <c r="AA20" s="26"/>
      <c r="AB20" s="26"/>
      <c r="AC20" s="77"/>
      <c r="AD20" s="77"/>
      <c r="AE20" s="26"/>
      <c r="AF20" s="26"/>
      <c r="AG20" s="26"/>
      <c r="AH20" s="26"/>
      <c r="AI20" s="26"/>
      <c r="AJ20" s="26"/>
      <c r="AK20" s="26"/>
      <c r="AL20" s="26"/>
      <c r="AM20" s="26"/>
      <c r="AN20" s="26"/>
      <c r="AO20" s="26"/>
      <c r="AP20" s="26"/>
      <c r="AQ20" s="26"/>
      <c r="AR20" s="26"/>
      <c r="AS20" s="26"/>
      <c r="AT20" s="26"/>
      <c r="AU20" s="26"/>
      <c r="AV20" s="26"/>
      <c r="AW20" s="26"/>
      <c r="AX20" s="26"/>
      <c r="AY20" s="26"/>
      <c r="AZ20" s="26"/>
      <c r="BA20" s="26"/>
      <c r="BB20" s="26"/>
      <c r="BC20" s="26"/>
      <c r="BD20" s="26"/>
      <c r="BE20" s="26"/>
      <c r="BF20" s="26"/>
      <c r="BG20" s="26"/>
      <c r="BH20" s="26"/>
      <c r="BI20" s="26"/>
      <c r="BJ20" s="26"/>
      <c r="BK20" s="26"/>
      <c r="BL20" s="26"/>
      <c r="BM20" s="26"/>
      <c r="BN20" s="26"/>
      <c r="BO20" s="26"/>
      <c r="BP20" s="26"/>
      <c r="BQ20" s="56"/>
      <c r="BR20" s="56"/>
      <c r="BS20" s="56"/>
      <c r="BT20" s="56"/>
      <c r="BU20" s="56"/>
      <c r="BV20" s="56"/>
      <c r="BW20" s="56"/>
      <c r="BX20" s="56"/>
      <c r="BY20" s="56"/>
      <c r="BZ20" s="56"/>
      <c r="CA20" s="56"/>
      <c r="CB20" s="56"/>
      <c r="CC20" s="56"/>
      <c r="CD20" s="56"/>
      <c r="CE20" s="56"/>
      <c r="CF20" s="56"/>
      <c r="CG20" s="56"/>
      <c r="CH20"/>
      <c r="CI20"/>
      <c r="CJ20"/>
      <c r="CK20"/>
      <c r="CL20"/>
      <c r="CM20"/>
      <c r="CN20"/>
      <c r="CO20"/>
      <c r="CP20"/>
      <c r="CQ20"/>
      <c r="CR20"/>
      <c r="CS20"/>
      <c r="CT20"/>
      <c r="CU20"/>
      <c r="CV20"/>
      <c r="CW20"/>
      <c r="CX20"/>
      <c r="CY20"/>
      <c r="CZ20"/>
      <c r="DA20"/>
      <c r="DB20"/>
      <c r="DC20"/>
      <c r="DD20"/>
      <c r="DE20"/>
      <c r="DF20"/>
      <c r="DG20"/>
      <c r="DH20"/>
      <c r="DI20"/>
      <c r="DJ20"/>
      <c r="DK20"/>
      <c r="DL20"/>
      <c r="DM20"/>
      <c r="DN20"/>
      <c r="DO20"/>
      <c r="DP20"/>
      <c r="DQ20"/>
    </row>
    <row r="21" spans="1:121" s="3" customFormat="1" ht="30" customHeight="1" thickBot="1" x14ac:dyDescent="0.3">
      <c r="A21" s="30"/>
      <c r="B21" s="110" t="s">
        <v>26</v>
      </c>
      <c r="C21" s="61"/>
      <c r="D21" s="15">
        <v>0.9</v>
      </c>
      <c r="E21" s="53">
        <v>45910</v>
      </c>
      <c r="F21" s="53">
        <v>45911</v>
      </c>
      <c r="G21" s="70"/>
      <c r="H21" s="14"/>
      <c r="I21" s="26"/>
      <c r="J21" s="26"/>
      <c r="K21" s="26"/>
      <c r="L21" s="26"/>
      <c r="M21" s="26"/>
      <c r="N21" s="26"/>
      <c r="O21" s="26"/>
      <c r="P21" s="26"/>
      <c r="Q21" s="26"/>
      <c r="R21" s="26"/>
      <c r="S21" s="26"/>
      <c r="T21" s="26"/>
      <c r="U21" s="26"/>
      <c r="V21" s="26"/>
      <c r="W21" s="26"/>
      <c r="X21" s="26"/>
      <c r="Y21" s="26"/>
      <c r="Z21" s="26"/>
      <c r="AA21" s="26"/>
      <c r="AB21" s="26"/>
      <c r="AC21" s="77"/>
      <c r="AD21" s="77"/>
      <c r="AE21" s="26"/>
      <c r="AF21" s="26"/>
      <c r="AG21" s="26"/>
      <c r="AH21" s="26"/>
      <c r="AI21" s="26"/>
      <c r="AJ21" s="26"/>
      <c r="AK21" s="26"/>
      <c r="AL21" s="26"/>
      <c r="AM21" s="26"/>
      <c r="AN21" s="26"/>
      <c r="AO21" s="26"/>
      <c r="AP21" s="26"/>
      <c r="AQ21" s="26"/>
      <c r="AR21" s="26"/>
      <c r="AS21" s="26"/>
      <c r="AT21" s="26"/>
      <c r="AU21" s="26"/>
      <c r="AV21" s="26"/>
      <c r="AW21" s="26"/>
      <c r="AX21" s="26"/>
      <c r="AY21" s="26"/>
      <c r="AZ21" s="26"/>
      <c r="BA21" s="26"/>
      <c r="BB21" s="26"/>
      <c r="BC21" s="26"/>
      <c r="BD21" s="26"/>
      <c r="BE21" s="26"/>
      <c r="BF21" s="26"/>
      <c r="BG21" s="26"/>
      <c r="BH21" s="26"/>
      <c r="BI21" s="26"/>
      <c r="BJ21" s="26"/>
      <c r="BK21" s="26"/>
      <c r="BL21" s="26"/>
      <c r="BM21" s="26"/>
      <c r="BN21" s="26"/>
      <c r="BO21" s="26"/>
      <c r="BP21" s="26"/>
      <c r="BQ21" s="56"/>
      <c r="BR21" s="56"/>
      <c r="BS21" s="56"/>
      <c r="BT21" s="56"/>
      <c r="BU21" s="56"/>
      <c r="BV21" s="56"/>
      <c r="BW21" s="56"/>
      <c r="BX21" s="56"/>
      <c r="BY21" s="56"/>
      <c r="BZ21" s="56"/>
      <c r="CA21" s="56"/>
      <c r="CB21" s="56"/>
      <c r="CC21" s="56"/>
      <c r="CD21" s="56"/>
      <c r="CE21" s="56"/>
      <c r="CF21" s="56"/>
      <c r="CG21" s="56"/>
      <c r="CH21"/>
      <c r="CI21"/>
      <c r="CJ21"/>
      <c r="CK21"/>
      <c r="CL21"/>
      <c r="CM21"/>
      <c r="CN21"/>
      <c r="CO21"/>
      <c r="CP21"/>
      <c r="CQ21"/>
      <c r="CR21"/>
      <c r="CS21"/>
      <c r="CT21"/>
      <c r="CU21"/>
      <c r="CV21"/>
      <c r="CW21"/>
      <c r="CX21"/>
      <c r="CY21"/>
      <c r="CZ21"/>
      <c r="DA21"/>
      <c r="DB21"/>
      <c r="DC21"/>
      <c r="DD21"/>
      <c r="DE21"/>
      <c r="DF21"/>
      <c r="DG21"/>
      <c r="DH21"/>
      <c r="DI21"/>
      <c r="DJ21"/>
      <c r="DK21"/>
      <c r="DL21"/>
      <c r="DM21"/>
      <c r="DN21"/>
      <c r="DO21"/>
      <c r="DP21"/>
      <c r="DQ21"/>
    </row>
    <row r="22" spans="1:121" s="3" customFormat="1" ht="30" customHeight="1" thickBot="1" x14ac:dyDescent="0.3">
      <c r="A22" s="30"/>
      <c r="B22" s="110" t="s">
        <v>75</v>
      </c>
      <c r="C22" s="61"/>
      <c r="D22" s="15">
        <v>0</v>
      </c>
      <c r="E22" s="53">
        <v>45911</v>
      </c>
      <c r="F22" s="53">
        <v>45911</v>
      </c>
      <c r="G22" s="70"/>
      <c r="H22" s="14"/>
      <c r="I22" s="26"/>
      <c r="J22" s="26"/>
      <c r="K22" s="26"/>
      <c r="L22" s="26"/>
      <c r="M22" s="26"/>
      <c r="N22" s="26"/>
      <c r="O22" s="26"/>
      <c r="P22" s="26"/>
      <c r="Q22" s="26"/>
      <c r="R22" s="26"/>
      <c r="S22" s="26"/>
      <c r="T22" s="26"/>
      <c r="U22" s="26"/>
      <c r="V22" s="26"/>
      <c r="W22" s="26"/>
      <c r="X22" s="115"/>
      <c r="Y22" s="26"/>
      <c r="Z22" s="26"/>
      <c r="AA22" s="26"/>
      <c r="AB22" s="26"/>
      <c r="AC22" s="77"/>
      <c r="AD22" s="77"/>
      <c r="AE22" s="26"/>
      <c r="AF22" s="26"/>
      <c r="AG22" s="26"/>
      <c r="AH22" s="26"/>
      <c r="AI22" s="26"/>
      <c r="AJ22" s="26"/>
      <c r="AK22" s="26"/>
      <c r="AL22" s="26"/>
      <c r="AM22" s="26"/>
      <c r="AN22" s="26"/>
      <c r="AO22" s="26"/>
      <c r="AP22" s="26"/>
      <c r="AQ22" s="26"/>
      <c r="AR22" s="26"/>
      <c r="AS22" s="26"/>
      <c r="AT22" s="26"/>
      <c r="AU22" s="26"/>
      <c r="AV22" s="26"/>
      <c r="AW22" s="26"/>
      <c r="AX22" s="26"/>
      <c r="AY22" s="26"/>
      <c r="AZ22" s="26"/>
      <c r="BA22" s="26"/>
      <c r="BB22" s="26"/>
      <c r="BC22" s="26"/>
      <c r="BD22" s="26"/>
      <c r="BE22" s="26"/>
      <c r="BF22" s="26"/>
      <c r="BG22" s="26"/>
      <c r="BH22" s="26"/>
      <c r="BI22" s="26"/>
      <c r="BJ22" s="26"/>
      <c r="BK22" s="26"/>
      <c r="BL22" s="26"/>
      <c r="BM22" s="26"/>
      <c r="BN22" s="26"/>
      <c r="BO22" s="26"/>
      <c r="BP22" s="26"/>
      <c r="BQ22" s="56"/>
      <c r="BR22" s="56"/>
      <c r="BS22" s="56"/>
      <c r="BT22" s="56"/>
      <c r="BU22" s="56"/>
      <c r="BV22" s="56"/>
      <c r="BW22" s="56"/>
      <c r="BX22" s="56"/>
      <c r="BY22" s="56"/>
      <c r="BZ22" s="56"/>
      <c r="CA22" s="56"/>
      <c r="CB22" s="56"/>
      <c r="CC22" s="56"/>
      <c r="CD22" s="56"/>
      <c r="CE22" s="56"/>
      <c r="CF22" s="56"/>
      <c r="CG22" s="56"/>
      <c r="CH22"/>
      <c r="CI22"/>
      <c r="CJ22"/>
      <c r="CK22"/>
      <c r="CL22"/>
      <c r="CM22"/>
      <c r="CN22"/>
      <c r="CO22"/>
      <c r="CP22"/>
      <c r="CQ22"/>
      <c r="CR22"/>
      <c r="CS22"/>
      <c r="CT22"/>
      <c r="CU22"/>
      <c r="CV22"/>
      <c r="CW22"/>
      <c r="CX22"/>
      <c r="CY22"/>
      <c r="CZ22"/>
      <c r="DA22"/>
      <c r="DB22"/>
      <c r="DC22"/>
      <c r="DD22"/>
      <c r="DE22"/>
      <c r="DF22"/>
      <c r="DG22"/>
      <c r="DH22"/>
      <c r="DI22"/>
      <c r="DJ22"/>
      <c r="DK22"/>
      <c r="DL22"/>
      <c r="DM22"/>
      <c r="DN22"/>
      <c r="DO22"/>
      <c r="DP22"/>
      <c r="DQ22"/>
    </row>
    <row r="23" spans="1:121" s="3" customFormat="1" ht="30" customHeight="1" thickBot="1" x14ac:dyDescent="0.3">
      <c r="A23" s="30"/>
      <c r="B23" s="109" t="s">
        <v>27</v>
      </c>
      <c r="C23" s="61"/>
      <c r="D23" s="15">
        <v>0</v>
      </c>
      <c r="E23" s="53">
        <v>45912</v>
      </c>
      <c r="F23" s="53">
        <v>45917</v>
      </c>
      <c r="G23" s="70"/>
      <c r="H23" s="14"/>
      <c r="I23" s="26"/>
      <c r="J23" s="26"/>
      <c r="K23" s="26"/>
      <c r="L23" s="26"/>
      <c r="M23" s="26"/>
      <c r="N23" s="26"/>
      <c r="O23" s="26"/>
      <c r="P23" s="26"/>
      <c r="Q23" s="26"/>
      <c r="R23" s="26"/>
      <c r="S23" s="26"/>
      <c r="T23" s="26"/>
      <c r="U23" s="26"/>
      <c r="V23" s="26"/>
      <c r="W23" s="26"/>
      <c r="X23" s="26"/>
      <c r="Y23" s="26"/>
      <c r="Z23" s="26"/>
      <c r="AA23" s="26"/>
      <c r="AB23" s="26"/>
      <c r="AC23" s="77"/>
      <c r="AD23" s="77"/>
      <c r="AE23" s="26"/>
      <c r="AF23" s="26"/>
      <c r="AG23" s="26"/>
      <c r="AH23" s="26"/>
      <c r="AI23" s="26"/>
      <c r="AJ23" s="26"/>
      <c r="AK23" s="26"/>
      <c r="AL23" s="26"/>
      <c r="AM23" s="26"/>
      <c r="AN23" s="26"/>
      <c r="AO23" s="26"/>
      <c r="AP23" s="26"/>
      <c r="AQ23" s="26"/>
      <c r="AR23" s="26"/>
      <c r="AS23" s="26"/>
      <c r="AT23" s="26"/>
      <c r="AU23" s="26"/>
      <c r="AV23" s="26"/>
      <c r="AW23" s="26"/>
      <c r="AX23" s="26"/>
      <c r="AY23" s="26"/>
      <c r="AZ23" s="26"/>
      <c r="BA23" s="26"/>
      <c r="BB23" s="26"/>
      <c r="BC23" s="26"/>
      <c r="BD23" s="26"/>
      <c r="BE23" s="26"/>
      <c r="BF23" s="26"/>
      <c r="BG23" s="26"/>
      <c r="BH23" s="26"/>
      <c r="BI23" s="26"/>
      <c r="BJ23" s="26"/>
      <c r="BK23" s="26"/>
      <c r="BL23" s="26"/>
      <c r="BM23" s="26"/>
      <c r="BN23" s="26"/>
      <c r="BO23" s="26"/>
      <c r="BP23" s="26"/>
      <c r="BQ23" s="56"/>
      <c r="BR23" s="56"/>
      <c r="BS23" s="56"/>
      <c r="BT23" s="56"/>
      <c r="BU23" s="56"/>
      <c r="BV23" s="56"/>
      <c r="BW23" s="56"/>
      <c r="BX23" s="56"/>
      <c r="BY23" s="56"/>
      <c r="BZ23" s="56"/>
      <c r="CA23" s="56"/>
      <c r="CB23" s="56"/>
      <c r="CC23" s="56"/>
      <c r="CD23" s="56"/>
      <c r="CE23" s="56"/>
      <c r="CF23" s="56"/>
      <c r="CG23" s="56"/>
      <c r="CH23"/>
      <c r="CI23"/>
      <c r="CJ23"/>
      <c r="CK23"/>
      <c r="CL23"/>
      <c r="CM23"/>
      <c r="CN23"/>
      <c r="CO23"/>
      <c r="CP23"/>
      <c r="CQ23"/>
      <c r="CR23"/>
      <c r="CS23"/>
      <c r="CT23"/>
      <c r="CU23"/>
      <c r="CV23"/>
      <c r="CW23"/>
      <c r="CX23"/>
      <c r="CY23"/>
      <c r="CZ23"/>
      <c r="DA23"/>
      <c r="DB23"/>
      <c r="DC23"/>
      <c r="DD23"/>
      <c r="DE23"/>
      <c r="DF23"/>
      <c r="DG23"/>
      <c r="DH23"/>
      <c r="DI23"/>
      <c r="DJ23"/>
      <c r="DK23"/>
      <c r="DL23"/>
      <c r="DM23"/>
      <c r="DN23"/>
      <c r="DO23"/>
      <c r="DP23"/>
      <c r="DQ23"/>
    </row>
    <row r="24" spans="1:121" s="3" customFormat="1" ht="30" customHeight="1" thickBot="1" x14ac:dyDescent="0.3">
      <c r="A24" s="30"/>
      <c r="B24" s="110" t="s">
        <v>28</v>
      </c>
      <c r="C24" s="61"/>
      <c r="D24" s="15">
        <v>0</v>
      </c>
      <c r="E24" s="53">
        <v>45916</v>
      </c>
      <c r="F24" s="53">
        <v>45917</v>
      </c>
      <c r="G24" s="70"/>
      <c r="H24" s="14"/>
      <c r="I24" s="26"/>
      <c r="J24" s="26"/>
      <c r="K24" s="26"/>
      <c r="L24" s="26"/>
      <c r="M24" s="26"/>
      <c r="N24" s="26"/>
      <c r="O24" s="26"/>
      <c r="P24" s="26"/>
      <c r="Q24" s="26"/>
      <c r="R24" s="26"/>
      <c r="S24" s="26"/>
      <c r="T24" s="26"/>
      <c r="U24" s="26"/>
      <c r="V24" s="26"/>
      <c r="W24" s="26"/>
      <c r="X24" s="26"/>
      <c r="Y24" s="26"/>
      <c r="Z24" s="26"/>
      <c r="AA24" s="26"/>
      <c r="AB24" s="26"/>
      <c r="AC24" s="77"/>
      <c r="AD24" s="77"/>
      <c r="AE24" s="26"/>
      <c r="AF24" s="26"/>
      <c r="AG24" s="26"/>
      <c r="AH24" s="26"/>
      <c r="AI24" s="26"/>
      <c r="AJ24" s="26"/>
      <c r="AK24" s="26"/>
      <c r="AL24" s="26"/>
      <c r="AM24" s="26"/>
      <c r="AN24" s="26"/>
      <c r="AO24" s="26"/>
      <c r="AP24" s="26"/>
      <c r="AQ24" s="26"/>
      <c r="AR24" s="26"/>
      <c r="AS24" s="26"/>
      <c r="AT24" s="26"/>
      <c r="AU24" s="26"/>
      <c r="AV24" s="26"/>
      <c r="AW24" s="26"/>
      <c r="AX24" s="26"/>
      <c r="AY24" s="26"/>
      <c r="AZ24" s="26"/>
      <c r="BA24" s="26"/>
      <c r="BB24" s="26"/>
      <c r="BC24" s="26"/>
      <c r="BD24" s="26"/>
      <c r="BE24" s="26"/>
      <c r="BF24" s="26"/>
      <c r="BG24" s="26"/>
      <c r="BH24" s="26"/>
      <c r="BI24" s="26"/>
      <c r="BJ24" s="26"/>
      <c r="BK24" s="26"/>
      <c r="BL24" s="26"/>
      <c r="BM24" s="26"/>
      <c r="BN24" s="26"/>
      <c r="BO24" s="26"/>
      <c r="BP24" s="26"/>
      <c r="BQ24" s="56"/>
      <c r="BR24" s="56"/>
      <c r="BS24" s="56"/>
      <c r="BT24" s="56"/>
      <c r="BU24" s="56"/>
      <c r="BV24" s="56"/>
      <c r="BW24" s="56"/>
      <c r="BX24" s="56"/>
      <c r="BY24" s="56"/>
      <c r="BZ24" s="56"/>
      <c r="CA24" s="56"/>
      <c r="CB24" s="56"/>
      <c r="CC24" s="56"/>
      <c r="CD24" s="56"/>
      <c r="CE24" s="56"/>
      <c r="CF24" s="56"/>
      <c r="CG24" s="56"/>
      <c r="CH24"/>
      <c r="CI24"/>
      <c r="CJ24"/>
      <c r="CK24"/>
      <c r="CL24"/>
      <c r="CM24"/>
      <c r="CN24"/>
      <c r="CO24"/>
      <c r="CP24"/>
      <c r="CQ24"/>
      <c r="CR24"/>
      <c r="CS24"/>
      <c r="CT24"/>
      <c r="CU24"/>
      <c r="CV24"/>
      <c r="CW24"/>
      <c r="CX24"/>
      <c r="CY24"/>
      <c r="CZ24"/>
      <c r="DA24"/>
      <c r="DB24"/>
      <c r="DC24"/>
      <c r="DD24"/>
      <c r="DE24"/>
      <c r="DF24"/>
      <c r="DG24"/>
      <c r="DH24"/>
      <c r="DI24"/>
      <c r="DJ24"/>
      <c r="DK24"/>
      <c r="DL24"/>
      <c r="DM24"/>
      <c r="DN24"/>
      <c r="DO24"/>
      <c r="DP24"/>
      <c r="DQ24"/>
    </row>
    <row r="25" spans="1:121" s="3" customFormat="1" ht="30" customHeight="1" thickBot="1" x14ac:dyDescent="0.3">
      <c r="A25" s="30"/>
      <c r="B25" s="109" t="s">
        <v>29</v>
      </c>
      <c r="C25" s="61"/>
      <c r="D25" s="15">
        <v>0</v>
      </c>
      <c r="E25" s="53">
        <v>45922</v>
      </c>
      <c r="F25" s="53">
        <v>45923</v>
      </c>
      <c r="G25" s="70"/>
      <c r="H25" s="14"/>
      <c r="I25" s="26"/>
      <c r="J25" s="26"/>
      <c r="K25" s="26"/>
      <c r="L25" s="26"/>
      <c r="M25" s="26"/>
      <c r="N25" s="26"/>
      <c r="O25" s="26"/>
      <c r="P25" s="26"/>
      <c r="Q25" s="26"/>
      <c r="R25" s="26"/>
      <c r="S25" s="26"/>
      <c r="T25" s="26"/>
      <c r="U25" s="26"/>
      <c r="V25" s="26"/>
      <c r="W25" s="26"/>
      <c r="X25" s="26"/>
      <c r="Y25" s="26"/>
      <c r="Z25" s="26"/>
      <c r="AA25" s="26"/>
      <c r="AB25" s="26"/>
      <c r="AC25" s="77"/>
      <c r="AD25" s="77"/>
      <c r="AE25" s="26"/>
      <c r="AF25" s="26"/>
      <c r="AG25" s="26"/>
      <c r="AH25" s="26"/>
      <c r="AI25" s="26"/>
      <c r="AJ25" s="26"/>
      <c r="AK25" s="26"/>
      <c r="AL25" s="26"/>
      <c r="AM25" s="26"/>
      <c r="AN25" s="26"/>
      <c r="AO25" s="26"/>
      <c r="AP25" s="26"/>
      <c r="AQ25" s="26"/>
      <c r="AR25" s="26"/>
      <c r="AS25" s="26"/>
      <c r="AT25" s="26"/>
      <c r="AU25" s="26"/>
      <c r="AV25" s="26"/>
      <c r="AW25" s="26"/>
      <c r="AX25" s="26"/>
      <c r="AY25" s="26"/>
      <c r="AZ25" s="26"/>
      <c r="BA25" s="26"/>
      <c r="BB25" s="26"/>
      <c r="BC25" s="26"/>
      <c r="BD25" s="26"/>
      <c r="BE25" s="26"/>
      <c r="BF25" s="26"/>
      <c r="BG25" s="26"/>
      <c r="BH25" s="26"/>
      <c r="BI25" s="26"/>
      <c r="BJ25" s="26"/>
      <c r="BK25" s="26"/>
      <c r="BL25" s="26"/>
      <c r="BM25" s="26"/>
      <c r="BN25" s="26"/>
      <c r="BO25" s="26"/>
      <c r="BP25" s="26"/>
      <c r="BQ25" s="56"/>
      <c r="BR25" s="56"/>
      <c r="BS25" s="56"/>
      <c r="BT25" s="56"/>
      <c r="BU25" s="56"/>
      <c r="BV25" s="56"/>
      <c r="BW25" s="56"/>
      <c r="BX25" s="56"/>
      <c r="BY25" s="56"/>
      <c r="BZ25" s="56"/>
      <c r="CA25" s="56"/>
      <c r="CB25" s="56"/>
      <c r="CC25" s="56"/>
      <c r="CD25" s="56"/>
      <c r="CE25" s="56"/>
      <c r="CF25" s="56"/>
      <c r="CG25" s="56"/>
      <c r="CH25"/>
      <c r="CI25"/>
      <c r="CJ25"/>
      <c r="CK25"/>
      <c r="CL25"/>
      <c r="CM25"/>
      <c r="CN25"/>
      <c r="CO25"/>
      <c r="CP25"/>
      <c r="CQ25"/>
      <c r="CR25"/>
      <c r="CS25"/>
      <c r="CT25"/>
      <c r="CU25"/>
      <c r="CV25"/>
      <c r="CW25"/>
      <c r="CX25"/>
      <c r="CY25"/>
      <c r="CZ25"/>
      <c r="DA25"/>
      <c r="DB25"/>
      <c r="DC25"/>
      <c r="DD25"/>
      <c r="DE25"/>
      <c r="DF25"/>
      <c r="DG25"/>
      <c r="DH25"/>
      <c r="DI25"/>
      <c r="DJ25"/>
      <c r="DK25"/>
      <c r="DL25"/>
      <c r="DM25"/>
      <c r="DN25"/>
      <c r="DO25"/>
      <c r="DP25"/>
      <c r="DQ25"/>
    </row>
    <row r="26" spans="1:121" s="91" customFormat="1" ht="30" customHeight="1" thickBot="1" x14ac:dyDescent="0.3">
      <c r="A26" s="100"/>
      <c r="B26" s="111" t="s">
        <v>30</v>
      </c>
      <c r="C26" s="101"/>
      <c r="D26" s="86"/>
      <c r="E26" s="87"/>
      <c r="F26" s="87"/>
      <c r="G26" s="88"/>
      <c r="H26" s="88"/>
      <c r="I26" s="89"/>
      <c r="J26" s="89"/>
      <c r="K26" s="89"/>
      <c r="L26" s="89"/>
      <c r="M26" s="89"/>
      <c r="N26" s="89"/>
      <c r="O26" s="89"/>
      <c r="P26" s="89"/>
      <c r="Q26" s="89"/>
      <c r="R26" s="89"/>
      <c r="S26" s="89"/>
      <c r="T26" s="89"/>
      <c r="U26" s="89"/>
      <c r="V26" s="89"/>
      <c r="W26" s="89"/>
      <c r="X26" s="89"/>
      <c r="Y26" s="89"/>
      <c r="Z26" s="89"/>
      <c r="AA26" s="89"/>
      <c r="AB26" s="89"/>
      <c r="AC26" s="89"/>
      <c r="AD26" s="89"/>
      <c r="AE26" s="89"/>
      <c r="AF26" s="89"/>
      <c r="AG26" s="89"/>
      <c r="AH26" s="89"/>
      <c r="AI26" s="89"/>
      <c r="AJ26" s="89"/>
      <c r="AK26" s="89"/>
      <c r="AL26" s="89"/>
      <c r="AM26" s="89"/>
      <c r="AN26" s="89"/>
      <c r="AO26" s="89"/>
      <c r="AP26" s="89"/>
      <c r="AQ26" s="89"/>
      <c r="AR26" s="89"/>
      <c r="AS26" s="89"/>
      <c r="AT26" s="89"/>
      <c r="AU26" s="89"/>
      <c r="AV26" s="89"/>
      <c r="AW26" s="89"/>
      <c r="AX26" s="89"/>
      <c r="AY26" s="89"/>
      <c r="AZ26" s="89"/>
      <c r="BA26" s="89"/>
      <c r="BB26" s="89"/>
      <c r="BC26" s="89"/>
      <c r="BD26" s="89"/>
      <c r="BE26" s="89"/>
      <c r="BF26" s="89"/>
      <c r="BG26" s="89"/>
      <c r="BH26" s="89"/>
      <c r="BI26" s="89"/>
      <c r="BJ26" s="89"/>
      <c r="BK26" s="89"/>
      <c r="BL26" s="89"/>
      <c r="BM26" s="89"/>
      <c r="BN26" s="89"/>
      <c r="BO26" s="89"/>
      <c r="BP26" s="89"/>
      <c r="BQ26" s="89"/>
      <c r="BR26" s="89"/>
      <c r="BS26" s="89"/>
      <c r="BT26" s="89"/>
      <c r="BU26" s="89"/>
      <c r="BV26" s="89"/>
      <c r="BW26" s="89"/>
      <c r="BX26" s="89"/>
      <c r="BY26" s="89"/>
      <c r="BZ26" s="89"/>
      <c r="CA26" s="89"/>
      <c r="CB26" s="89"/>
      <c r="CC26" s="89"/>
      <c r="CD26" s="89"/>
      <c r="CE26" s="89"/>
      <c r="CF26" s="89"/>
      <c r="CG26" s="89"/>
      <c r="CH26" s="90"/>
      <c r="CI26" s="90"/>
      <c r="CJ26" s="90"/>
      <c r="CK26" s="90"/>
      <c r="CL26" s="90"/>
      <c r="CM26" s="90"/>
      <c r="CN26" s="90"/>
      <c r="CO26" s="90"/>
      <c r="CP26" s="90"/>
      <c r="CQ26" s="90"/>
      <c r="CR26" s="90"/>
      <c r="CS26" s="90"/>
      <c r="CT26" s="90"/>
      <c r="CU26" s="90"/>
      <c r="CV26" s="90"/>
      <c r="CW26" s="90"/>
      <c r="CX26" s="90"/>
      <c r="CY26" s="90"/>
      <c r="CZ26" s="90"/>
      <c r="DA26" s="90"/>
      <c r="DB26" s="90"/>
      <c r="DC26" s="90"/>
      <c r="DD26" s="90"/>
      <c r="DE26" s="90"/>
      <c r="DF26" s="90"/>
      <c r="DG26" s="90"/>
      <c r="DH26" s="90"/>
      <c r="DI26" s="90"/>
      <c r="DJ26" s="90"/>
      <c r="DK26" s="90"/>
      <c r="DL26" s="90"/>
      <c r="DM26" s="90"/>
      <c r="DN26" s="90"/>
      <c r="DO26" s="90"/>
      <c r="DP26" s="90"/>
      <c r="DQ26" s="90"/>
    </row>
    <row r="27" spans="1:121" s="3" customFormat="1" ht="30" customHeight="1" thickBot="1" x14ac:dyDescent="0.3">
      <c r="A27" s="30"/>
      <c r="B27" s="110" t="s">
        <v>47</v>
      </c>
      <c r="C27" s="61"/>
      <c r="D27" s="15">
        <v>0</v>
      </c>
      <c r="E27" s="53">
        <v>45923</v>
      </c>
      <c r="F27" s="53">
        <v>45925</v>
      </c>
      <c r="G27" s="70"/>
      <c r="H27" s="14"/>
      <c r="I27" s="26"/>
      <c r="J27" s="26"/>
      <c r="K27" s="26"/>
      <c r="L27" s="26"/>
      <c r="M27" s="26"/>
      <c r="N27" s="26"/>
      <c r="O27" s="26"/>
      <c r="P27" s="26"/>
      <c r="Q27" s="26"/>
      <c r="R27" s="26"/>
      <c r="S27" s="26"/>
      <c r="T27" s="26"/>
      <c r="U27" s="26"/>
      <c r="V27" s="26"/>
      <c r="W27" s="26"/>
      <c r="X27" s="26"/>
      <c r="Y27" s="26"/>
      <c r="Z27" s="26"/>
      <c r="AA27" s="26"/>
      <c r="AB27" s="26"/>
      <c r="AC27" s="77"/>
      <c r="AD27" s="77"/>
      <c r="AE27" s="26"/>
      <c r="AF27" s="26"/>
      <c r="AG27" s="26"/>
      <c r="AH27" s="26"/>
      <c r="AI27" s="26"/>
      <c r="AJ27" s="26"/>
      <c r="AK27" s="26"/>
      <c r="AL27" s="26"/>
      <c r="AM27" s="26"/>
      <c r="AN27" s="26"/>
      <c r="AO27" s="26"/>
      <c r="AP27" s="26"/>
      <c r="AQ27" s="26"/>
      <c r="AR27" s="26"/>
      <c r="AS27" s="26"/>
      <c r="AT27" s="26"/>
      <c r="AU27" s="26"/>
      <c r="AV27" s="26"/>
      <c r="AW27" s="26"/>
      <c r="AX27" s="26"/>
      <c r="AY27" s="26"/>
      <c r="AZ27" s="26"/>
      <c r="BA27" s="26"/>
      <c r="BB27" s="26"/>
      <c r="BC27" s="26"/>
      <c r="BD27" s="26"/>
      <c r="BE27" s="26"/>
      <c r="BF27" s="26"/>
      <c r="BG27" s="26"/>
      <c r="BH27" s="26"/>
      <c r="BI27" s="26"/>
      <c r="BJ27" s="26"/>
      <c r="BK27" s="26"/>
      <c r="BL27" s="26"/>
      <c r="BM27" s="26"/>
      <c r="BN27" s="26"/>
      <c r="BO27" s="26"/>
      <c r="BP27" s="26"/>
      <c r="BQ27" s="56"/>
      <c r="BR27" s="56"/>
      <c r="BS27" s="56"/>
      <c r="BT27" s="56"/>
      <c r="BU27" s="56"/>
      <c r="BV27" s="56"/>
      <c r="BW27" s="56"/>
      <c r="BX27" s="56"/>
      <c r="BY27" s="56"/>
      <c r="BZ27" s="56"/>
      <c r="CA27" s="56"/>
      <c r="CB27" s="56"/>
      <c r="CC27" s="56"/>
      <c r="CD27" s="56"/>
      <c r="CE27" s="56"/>
      <c r="CF27" s="56"/>
      <c r="CG27" s="56"/>
      <c r="CH27"/>
      <c r="CI27"/>
      <c r="CJ27"/>
      <c r="CK27"/>
      <c r="CL27"/>
      <c r="CM27"/>
      <c r="CN27"/>
      <c r="CO27"/>
      <c r="CP27"/>
      <c r="CQ27"/>
      <c r="CR27"/>
      <c r="CS27"/>
      <c r="CT27"/>
      <c r="CU27"/>
      <c r="CV27"/>
      <c r="CW27"/>
      <c r="CX27"/>
      <c r="CY27"/>
      <c r="CZ27"/>
      <c r="DA27"/>
      <c r="DB27"/>
      <c r="DC27"/>
      <c r="DD27"/>
      <c r="DE27"/>
      <c r="DF27"/>
      <c r="DG27"/>
      <c r="DH27"/>
      <c r="DI27"/>
      <c r="DJ27"/>
      <c r="DK27"/>
      <c r="DL27"/>
      <c r="DM27"/>
      <c r="DN27"/>
      <c r="DO27"/>
      <c r="DP27"/>
      <c r="DQ27"/>
    </row>
    <row r="28" spans="1:121" s="3" customFormat="1" ht="30" customHeight="1" thickBot="1" x14ac:dyDescent="0.3">
      <c r="A28" s="30"/>
      <c r="B28" s="110" t="s">
        <v>42</v>
      </c>
      <c r="C28" s="61"/>
      <c r="D28" s="15">
        <v>0</v>
      </c>
      <c r="E28" s="53">
        <v>45924</v>
      </c>
      <c r="F28" s="53">
        <v>45924</v>
      </c>
      <c r="G28" s="70"/>
      <c r="H28" s="14"/>
      <c r="I28" s="26"/>
      <c r="J28" s="26"/>
      <c r="K28" s="26"/>
      <c r="L28" s="26"/>
      <c r="M28" s="26"/>
      <c r="N28" s="26"/>
      <c r="O28" s="26"/>
      <c r="P28" s="26"/>
      <c r="Q28" s="26"/>
      <c r="R28" s="26"/>
      <c r="S28" s="26"/>
      <c r="T28" s="26"/>
      <c r="U28" s="26"/>
      <c r="V28" s="26"/>
      <c r="W28" s="26"/>
      <c r="X28" s="26"/>
      <c r="Y28" s="26"/>
      <c r="Z28" s="26"/>
      <c r="AA28" s="26"/>
      <c r="AB28" s="26"/>
      <c r="AC28" s="77"/>
      <c r="AD28" s="77"/>
      <c r="AE28" s="26"/>
      <c r="AF28" s="26"/>
      <c r="AG28" s="26"/>
      <c r="AH28" s="26"/>
      <c r="AI28" s="26"/>
      <c r="AJ28" s="26"/>
      <c r="AK28" s="26"/>
      <c r="AL28" s="26"/>
      <c r="AM28" s="26"/>
      <c r="AN28" s="26"/>
      <c r="AO28" s="26"/>
      <c r="AP28" s="26"/>
      <c r="AQ28" s="26"/>
      <c r="AR28" s="26"/>
      <c r="AS28" s="26"/>
      <c r="AT28" s="26"/>
      <c r="AU28" s="26"/>
      <c r="AV28" s="26"/>
      <c r="AW28" s="26"/>
      <c r="AX28" s="26"/>
      <c r="AY28" s="26"/>
      <c r="AZ28" s="26"/>
      <c r="BA28" s="26"/>
      <c r="BB28" s="26"/>
      <c r="BC28" s="26"/>
      <c r="BD28" s="26"/>
      <c r="BE28" s="26"/>
      <c r="BF28" s="26"/>
      <c r="BG28" s="26"/>
      <c r="BH28" s="26"/>
      <c r="BI28" s="26"/>
      <c r="BJ28" s="26"/>
      <c r="BK28" s="26"/>
      <c r="BL28" s="26"/>
      <c r="BM28" s="26"/>
      <c r="BN28" s="26"/>
      <c r="BO28" s="26"/>
      <c r="BP28" s="26"/>
      <c r="BQ28" s="56"/>
      <c r="BR28" s="56"/>
      <c r="BS28" s="56"/>
      <c r="BT28" s="56"/>
      <c r="BU28" s="56"/>
      <c r="BV28" s="56"/>
      <c r="BW28" s="56"/>
      <c r="BX28" s="56"/>
      <c r="BY28" s="56"/>
      <c r="BZ28" s="56"/>
      <c r="CA28" s="56"/>
      <c r="CB28" s="56"/>
      <c r="CC28" s="56"/>
      <c r="CD28" s="56"/>
      <c r="CE28" s="56"/>
      <c r="CF28" s="56"/>
      <c r="CG28" s="56"/>
      <c r="CH28"/>
      <c r="CI28"/>
      <c r="CJ28"/>
      <c r="CK28"/>
      <c r="CL28"/>
      <c r="CM28"/>
      <c r="CN28"/>
      <c r="CO28"/>
      <c r="CP28"/>
      <c r="CQ28"/>
      <c r="CR28"/>
      <c r="CS28"/>
      <c r="CT28"/>
      <c r="CU28"/>
      <c r="CV28"/>
      <c r="CW28"/>
      <c r="CX28"/>
      <c r="CY28"/>
      <c r="CZ28"/>
      <c r="DA28"/>
      <c r="DB28"/>
      <c r="DC28"/>
      <c r="DD28"/>
      <c r="DE28"/>
      <c r="DF28"/>
      <c r="DG28"/>
      <c r="DH28"/>
      <c r="DI28"/>
      <c r="DJ28"/>
      <c r="DK28"/>
      <c r="DL28"/>
      <c r="DM28"/>
      <c r="DN28"/>
      <c r="DO28"/>
      <c r="DP28"/>
      <c r="DQ28"/>
    </row>
    <row r="29" spans="1:121" s="3" customFormat="1" ht="30" customHeight="1" thickBot="1" x14ac:dyDescent="0.3">
      <c r="A29" s="30"/>
      <c r="B29" s="110" t="s">
        <v>43</v>
      </c>
      <c r="C29" s="61"/>
      <c r="D29" s="15">
        <v>0</v>
      </c>
      <c r="E29" s="53">
        <v>45925</v>
      </c>
      <c r="F29" s="53">
        <v>45926</v>
      </c>
      <c r="G29" s="70"/>
      <c r="H29" s="14"/>
      <c r="I29" s="26"/>
      <c r="J29" s="26"/>
      <c r="K29" s="26"/>
      <c r="L29" s="26"/>
      <c r="M29" s="26"/>
      <c r="N29" s="26"/>
      <c r="O29" s="26"/>
      <c r="P29" s="26"/>
      <c r="Q29" s="26"/>
      <c r="R29" s="26"/>
      <c r="S29" s="26"/>
      <c r="T29" s="26"/>
      <c r="U29" s="26"/>
      <c r="V29" s="26"/>
      <c r="W29" s="26"/>
      <c r="X29" s="26"/>
      <c r="Y29" s="26"/>
      <c r="Z29" s="26"/>
      <c r="AA29" s="26"/>
      <c r="AB29" s="26"/>
      <c r="AC29" s="77"/>
      <c r="AD29" s="77"/>
      <c r="AE29" s="26"/>
      <c r="AF29" s="26"/>
      <c r="AG29" s="26"/>
      <c r="AH29" s="26"/>
      <c r="AI29" s="26"/>
      <c r="AJ29" s="26"/>
      <c r="AK29" s="26"/>
      <c r="AL29" s="26"/>
      <c r="AM29" s="26"/>
      <c r="AN29" s="26"/>
      <c r="AO29" s="26"/>
      <c r="AP29" s="26"/>
      <c r="AQ29" s="26"/>
      <c r="AR29" s="26"/>
      <c r="AS29" s="26"/>
      <c r="AT29" s="26"/>
      <c r="AU29" s="26"/>
      <c r="AV29" s="26"/>
      <c r="AW29" s="26"/>
      <c r="AX29" s="26"/>
      <c r="AY29" s="26"/>
      <c r="AZ29" s="26"/>
      <c r="BA29" s="26"/>
      <c r="BB29" s="26"/>
      <c r="BC29" s="26"/>
      <c r="BD29" s="26"/>
      <c r="BE29" s="26"/>
      <c r="BF29" s="26"/>
      <c r="BG29" s="26"/>
      <c r="BH29" s="26"/>
      <c r="BI29" s="26"/>
      <c r="BJ29" s="26"/>
      <c r="BK29" s="26"/>
      <c r="BL29" s="26"/>
      <c r="BM29" s="26"/>
      <c r="BN29" s="26"/>
      <c r="BO29" s="26"/>
      <c r="BP29" s="26"/>
      <c r="BQ29" s="56"/>
      <c r="BR29" s="56"/>
      <c r="BS29" s="56"/>
      <c r="BT29" s="56"/>
      <c r="BU29" s="56"/>
      <c r="BV29" s="56"/>
      <c r="BW29" s="56"/>
      <c r="BX29" s="56"/>
      <c r="BY29" s="56"/>
      <c r="BZ29" s="56"/>
      <c r="CA29" s="56"/>
      <c r="CB29" s="56"/>
      <c r="CC29" s="56"/>
      <c r="CD29" s="56"/>
      <c r="CE29" s="56"/>
      <c r="CF29" s="56"/>
      <c r="CG29" s="56"/>
      <c r="CH29"/>
      <c r="CI29"/>
      <c r="CJ29"/>
      <c r="CK29"/>
      <c r="CL29"/>
      <c r="CM29"/>
      <c r="CN29"/>
      <c r="CO29"/>
      <c r="CP29"/>
      <c r="CQ29"/>
      <c r="CR29"/>
      <c r="CS29"/>
      <c r="CT29"/>
      <c r="CU29"/>
      <c r="CV29"/>
      <c r="CW29"/>
      <c r="CX29"/>
      <c r="CY29"/>
      <c r="CZ29"/>
      <c r="DA29"/>
      <c r="DB29"/>
      <c r="DC29"/>
      <c r="DD29"/>
      <c r="DE29"/>
      <c r="DF29"/>
      <c r="DG29"/>
      <c r="DH29"/>
      <c r="DI29"/>
      <c r="DJ29"/>
      <c r="DK29"/>
      <c r="DL29"/>
      <c r="DM29"/>
      <c r="DN29"/>
      <c r="DO29"/>
      <c r="DP29"/>
      <c r="DQ29"/>
    </row>
    <row r="30" spans="1:121" s="3" customFormat="1" ht="30" customHeight="1" thickBot="1" x14ac:dyDescent="0.3">
      <c r="A30" s="30"/>
      <c r="B30" s="114" t="s">
        <v>61</v>
      </c>
      <c r="C30" s="61"/>
      <c r="D30" s="15">
        <v>0</v>
      </c>
      <c r="E30" s="53">
        <v>45926</v>
      </c>
      <c r="F30" s="53">
        <v>45929</v>
      </c>
      <c r="G30" s="70"/>
      <c r="H30" s="14"/>
      <c r="I30" s="26"/>
      <c r="J30" s="26"/>
      <c r="K30" s="26"/>
      <c r="L30" s="26"/>
      <c r="M30" s="26"/>
      <c r="N30" s="26"/>
      <c r="O30" s="26"/>
      <c r="P30" s="26"/>
      <c r="Q30" s="26"/>
      <c r="R30" s="26"/>
      <c r="S30" s="26"/>
      <c r="T30" s="26"/>
      <c r="U30" s="26"/>
      <c r="V30" s="26"/>
      <c r="W30" s="26"/>
      <c r="X30" s="26"/>
      <c r="Y30" s="26"/>
      <c r="Z30" s="26"/>
      <c r="AA30" s="26"/>
      <c r="AB30" s="26"/>
      <c r="AC30" s="77"/>
      <c r="AD30" s="77"/>
      <c r="AE30" s="26"/>
      <c r="AF30" s="26"/>
      <c r="AG30" s="26"/>
      <c r="AH30" s="26"/>
      <c r="AI30" s="26"/>
      <c r="AJ30" s="26"/>
      <c r="AK30" s="26"/>
      <c r="AL30" s="26"/>
      <c r="AM30" s="26"/>
      <c r="AN30" s="26"/>
      <c r="AO30" s="26"/>
      <c r="AP30" s="26"/>
      <c r="AQ30" s="26"/>
      <c r="AR30" s="26"/>
      <c r="AS30" s="26"/>
      <c r="AT30" s="26"/>
      <c r="AU30" s="26"/>
      <c r="AV30" s="26"/>
      <c r="AW30" s="26"/>
      <c r="AX30" s="26"/>
      <c r="AY30" s="26"/>
      <c r="AZ30" s="26"/>
      <c r="BA30" s="26"/>
      <c r="BB30" s="26"/>
      <c r="BC30" s="26"/>
      <c r="BD30" s="26"/>
      <c r="BE30" s="26"/>
      <c r="BF30" s="26"/>
      <c r="BG30" s="26"/>
      <c r="BH30" s="26"/>
      <c r="BI30" s="26"/>
      <c r="BJ30" s="26"/>
      <c r="BK30" s="26"/>
      <c r="BL30" s="26"/>
      <c r="BM30" s="26"/>
      <c r="BN30" s="26"/>
      <c r="BO30" s="26"/>
      <c r="BP30" s="26"/>
      <c r="BQ30" s="56"/>
      <c r="BR30" s="56"/>
      <c r="BS30" s="56"/>
      <c r="BT30" s="56"/>
      <c r="BU30" s="56"/>
      <c r="BV30" s="56"/>
      <c r="BW30" s="56"/>
      <c r="BX30" s="56"/>
      <c r="BY30" s="56"/>
      <c r="BZ30" s="56"/>
      <c r="CA30" s="56"/>
      <c r="CB30" s="56"/>
      <c r="CC30" s="56"/>
      <c r="CD30" s="56"/>
      <c r="CE30" s="56"/>
      <c r="CF30" s="56"/>
      <c r="CG30" s="56"/>
      <c r="CH30"/>
      <c r="CI30"/>
      <c r="CJ30"/>
      <c r="CK30"/>
      <c r="CL30"/>
      <c r="CM30"/>
      <c r="CN30"/>
      <c r="CO30"/>
      <c r="CP30"/>
      <c r="CQ30"/>
      <c r="CR30"/>
      <c r="CS30"/>
      <c r="CT30"/>
      <c r="CU30"/>
      <c r="CV30"/>
      <c r="CW30"/>
      <c r="CX30"/>
      <c r="CY30"/>
      <c r="CZ30"/>
      <c r="DA30"/>
      <c r="DB30"/>
      <c r="DC30"/>
      <c r="DD30"/>
      <c r="DE30"/>
      <c r="DF30"/>
      <c r="DG30"/>
      <c r="DH30"/>
      <c r="DI30"/>
      <c r="DJ30"/>
      <c r="DK30"/>
      <c r="DL30"/>
      <c r="DM30"/>
      <c r="DN30"/>
      <c r="DO30"/>
      <c r="DP30"/>
      <c r="DQ30"/>
    </row>
    <row r="31" spans="1:121" s="3" customFormat="1" ht="30" customHeight="1" thickBot="1" x14ac:dyDescent="0.3">
      <c r="A31" s="30"/>
      <c r="B31" s="112" t="s">
        <v>62</v>
      </c>
      <c r="C31" s="61"/>
      <c r="D31" s="15">
        <v>0</v>
      </c>
      <c r="E31" s="53">
        <v>45929</v>
      </c>
      <c r="F31" s="53">
        <v>45930</v>
      </c>
      <c r="G31" s="70"/>
      <c r="H31" s="14"/>
      <c r="I31" s="26"/>
      <c r="J31" s="26"/>
      <c r="K31" s="26"/>
      <c r="L31" s="26"/>
      <c r="M31" s="26"/>
      <c r="N31" s="26"/>
      <c r="O31" s="26"/>
      <c r="P31" s="26"/>
      <c r="Q31" s="26"/>
      <c r="R31" s="26"/>
      <c r="S31" s="26"/>
      <c r="T31" s="26"/>
      <c r="U31" s="26"/>
      <c r="V31" s="26"/>
      <c r="W31" s="26"/>
      <c r="X31" s="26"/>
      <c r="Y31" s="26"/>
      <c r="Z31" s="26"/>
      <c r="AA31" s="26"/>
      <c r="AB31" s="26"/>
      <c r="AC31" s="77"/>
      <c r="AD31" s="77"/>
      <c r="AE31" s="26"/>
      <c r="AF31" s="26"/>
      <c r="AG31" s="26"/>
      <c r="AH31" s="26"/>
      <c r="AI31" s="26"/>
      <c r="AJ31" s="26"/>
      <c r="AK31" s="26"/>
      <c r="AL31" s="26"/>
      <c r="AM31" s="26"/>
      <c r="AN31" s="26"/>
      <c r="AO31" s="26"/>
      <c r="AP31" s="26"/>
      <c r="AQ31" s="26"/>
      <c r="AR31" s="26"/>
      <c r="AS31" s="26"/>
      <c r="AT31" s="26"/>
      <c r="AU31" s="26"/>
      <c r="AV31" s="26"/>
      <c r="AW31" s="26"/>
      <c r="AX31" s="26"/>
      <c r="AY31" s="26"/>
      <c r="AZ31" s="26"/>
      <c r="BA31" s="26"/>
      <c r="BB31" s="26"/>
      <c r="BC31" s="26"/>
      <c r="BD31" s="26"/>
      <c r="BE31" s="26"/>
      <c r="BF31" s="26"/>
      <c r="BG31" s="26"/>
      <c r="BH31" s="26"/>
      <c r="BI31" s="26"/>
      <c r="BJ31" s="26"/>
      <c r="BK31" s="26"/>
      <c r="BL31" s="26"/>
      <c r="BM31" s="26"/>
      <c r="BN31" s="26"/>
      <c r="BO31" s="26"/>
      <c r="BP31" s="26"/>
      <c r="BQ31" s="56"/>
      <c r="BR31" s="56"/>
      <c r="BS31" s="56"/>
      <c r="BT31" s="56"/>
      <c r="BU31" s="56"/>
      <c r="BV31" s="56"/>
      <c r="BW31" s="56"/>
      <c r="BX31" s="56"/>
      <c r="BY31" s="56"/>
      <c r="BZ31" s="56"/>
      <c r="CA31" s="56"/>
      <c r="CB31" s="56"/>
      <c r="CC31" s="56"/>
      <c r="CD31" s="56"/>
      <c r="CE31" s="56"/>
      <c r="CF31" s="56"/>
      <c r="CG31" s="56"/>
      <c r="CH31"/>
      <c r="CI31"/>
      <c r="CJ31"/>
      <c r="CK31"/>
      <c r="CL31"/>
      <c r="CM31"/>
      <c r="CN31"/>
      <c r="CO31"/>
      <c r="CP31"/>
      <c r="CQ31"/>
      <c r="CR31"/>
      <c r="CS31"/>
      <c r="CT31"/>
      <c r="CU31"/>
      <c r="CV31"/>
      <c r="CW31"/>
      <c r="CX31"/>
      <c r="CY31"/>
      <c r="CZ31"/>
      <c r="DA31"/>
      <c r="DB31"/>
      <c r="DC31"/>
      <c r="DD31"/>
      <c r="DE31"/>
      <c r="DF31"/>
      <c r="DG31"/>
      <c r="DH31"/>
      <c r="DI31"/>
      <c r="DJ31"/>
      <c r="DK31"/>
      <c r="DL31"/>
      <c r="DM31"/>
      <c r="DN31"/>
      <c r="DO31"/>
      <c r="DP31"/>
      <c r="DQ31"/>
    </row>
    <row r="32" spans="1:121" s="3" customFormat="1" ht="30" customHeight="1" thickBot="1" x14ac:dyDescent="0.3">
      <c r="A32" s="31" t="s">
        <v>7</v>
      </c>
      <c r="B32" s="16" t="s">
        <v>31</v>
      </c>
      <c r="C32" s="37"/>
      <c r="D32" s="17"/>
      <c r="E32" s="45"/>
      <c r="F32" s="46"/>
      <c r="G32" s="71"/>
      <c r="H32" s="14" t="str">
        <f t="shared" si="17"/>
        <v/>
      </c>
      <c r="I32" s="128"/>
      <c r="J32" s="129"/>
      <c r="K32" s="129"/>
      <c r="L32" s="129"/>
      <c r="M32" s="129"/>
      <c r="N32" s="129"/>
      <c r="O32" s="129"/>
      <c r="P32" s="129"/>
      <c r="Q32" s="129"/>
      <c r="R32" s="129"/>
      <c r="S32" s="129"/>
      <c r="T32" s="129"/>
      <c r="U32" s="129"/>
      <c r="V32" s="129"/>
      <c r="W32" s="129"/>
      <c r="X32" s="129"/>
      <c r="Y32" s="129"/>
      <c r="Z32" s="129"/>
      <c r="AA32" s="129"/>
      <c r="AB32" s="129"/>
      <c r="AC32" s="129"/>
      <c r="AD32" s="129"/>
      <c r="AE32" s="129"/>
      <c r="AF32" s="129"/>
      <c r="AG32" s="129"/>
      <c r="AH32" s="129"/>
      <c r="AI32" s="129"/>
      <c r="AJ32" s="129"/>
      <c r="AK32" s="129"/>
      <c r="AL32" s="129"/>
      <c r="AM32" s="129"/>
      <c r="AN32" s="129"/>
      <c r="AO32" s="129"/>
      <c r="AP32" s="129"/>
      <c r="AQ32" s="129"/>
      <c r="AR32" s="129"/>
      <c r="AS32" s="129"/>
      <c r="AT32" s="129"/>
      <c r="AU32" s="129"/>
      <c r="AV32" s="129"/>
      <c r="AW32" s="129"/>
      <c r="AX32" s="129"/>
      <c r="AY32" s="129"/>
      <c r="AZ32" s="129"/>
      <c r="BA32" s="129"/>
      <c r="BB32" s="129"/>
      <c r="BC32" s="129"/>
      <c r="BD32" s="129"/>
      <c r="BE32" s="129"/>
      <c r="BF32" s="129"/>
      <c r="BG32" s="129"/>
      <c r="BH32" s="129"/>
      <c r="BI32" s="129"/>
      <c r="BJ32" s="129"/>
      <c r="BK32" s="129"/>
      <c r="BL32" s="129"/>
      <c r="BM32" s="129"/>
      <c r="BN32" s="129"/>
      <c r="BO32" s="129"/>
      <c r="BP32" s="129"/>
      <c r="BQ32" s="129"/>
      <c r="BR32" s="129"/>
      <c r="BS32" s="129"/>
      <c r="BT32" s="129"/>
      <c r="BU32" s="129"/>
      <c r="BV32" s="129"/>
      <c r="BW32" s="129"/>
      <c r="BX32" s="129"/>
      <c r="BY32" s="129"/>
      <c r="BZ32" s="129"/>
      <c r="CA32" s="129"/>
      <c r="CB32" s="129"/>
      <c r="CC32" s="129"/>
      <c r="CD32" s="129"/>
      <c r="CE32" s="129"/>
      <c r="CF32" s="129"/>
      <c r="CG32" s="130"/>
      <c r="CH32"/>
      <c r="CI32"/>
      <c r="CJ32"/>
      <c r="CK32"/>
      <c r="CL32"/>
      <c r="CM32"/>
      <c r="CN32"/>
      <c r="CO32"/>
      <c r="CP32"/>
      <c r="CQ32"/>
      <c r="CR32"/>
      <c r="CS32"/>
      <c r="CT32"/>
      <c r="CU32"/>
      <c r="CV32"/>
      <c r="CW32"/>
      <c r="CX32"/>
      <c r="CY32"/>
      <c r="CZ32"/>
      <c r="DA32"/>
      <c r="DB32"/>
      <c r="DC32"/>
      <c r="DD32"/>
      <c r="DE32"/>
      <c r="DF32"/>
      <c r="DG32"/>
      <c r="DH32"/>
      <c r="DI32"/>
      <c r="DJ32"/>
      <c r="DK32"/>
      <c r="DL32"/>
      <c r="DM32"/>
      <c r="DN32"/>
      <c r="DO32"/>
      <c r="DP32"/>
      <c r="DQ32"/>
    </row>
    <row r="33" spans="1:121" s="79" customFormat="1" ht="30" customHeight="1" thickBot="1" x14ac:dyDescent="0.3">
      <c r="A33" s="80"/>
      <c r="B33" s="102" t="s">
        <v>48</v>
      </c>
      <c r="C33" s="38"/>
      <c r="D33" s="18"/>
      <c r="E33" s="103"/>
      <c r="F33" s="104"/>
      <c r="G33" s="72"/>
      <c r="H33" s="105"/>
      <c r="I33" s="81"/>
      <c r="J33" s="81"/>
      <c r="K33" s="81"/>
      <c r="L33" s="81"/>
      <c r="M33" s="81"/>
      <c r="N33" s="81"/>
      <c r="O33" s="81"/>
      <c r="P33" s="81"/>
      <c r="Q33" s="81"/>
      <c r="R33" s="81"/>
      <c r="S33" s="81"/>
      <c r="T33" s="81"/>
      <c r="U33" s="81"/>
      <c r="V33" s="81"/>
      <c r="W33" s="81"/>
      <c r="X33" s="81"/>
      <c r="Y33" s="81"/>
      <c r="Z33" s="81"/>
      <c r="AA33" s="81"/>
      <c r="AB33" s="81"/>
      <c r="AC33" s="81"/>
      <c r="AD33" s="81"/>
      <c r="AE33" s="81"/>
      <c r="AF33" s="81"/>
      <c r="AG33" s="81"/>
      <c r="AH33" s="81"/>
      <c r="AI33" s="81"/>
      <c r="AJ33" s="81"/>
      <c r="AK33" s="81"/>
      <c r="AL33" s="81"/>
      <c r="AM33" s="81"/>
      <c r="AN33" s="81"/>
      <c r="AO33" s="81"/>
      <c r="AP33" s="81"/>
      <c r="AQ33" s="81"/>
      <c r="AR33" s="81"/>
      <c r="AS33" s="81"/>
      <c r="AT33" s="81"/>
      <c r="AU33" s="81"/>
      <c r="AV33" s="81"/>
      <c r="AW33" s="81"/>
      <c r="AX33" s="81"/>
      <c r="AY33" s="81"/>
      <c r="AZ33" s="81"/>
      <c r="BA33" s="81"/>
      <c r="BB33" s="81"/>
      <c r="BC33" s="81"/>
      <c r="BD33" s="81"/>
      <c r="BE33" s="81"/>
      <c r="BF33" s="81"/>
      <c r="BG33" s="81"/>
      <c r="BH33" s="81"/>
      <c r="BI33" s="81"/>
      <c r="BJ33" s="81"/>
      <c r="BK33" s="81"/>
      <c r="BL33" s="81"/>
      <c r="BM33" s="81"/>
      <c r="BN33" s="81"/>
      <c r="BO33" s="81"/>
      <c r="BP33" s="81"/>
      <c r="BQ33" s="81"/>
      <c r="BR33" s="81"/>
      <c r="BS33" s="81"/>
      <c r="BT33" s="81"/>
      <c r="BU33" s="81"/>
      <c r="BV33" s="81"/>
      <c r="BW33" s="81"/>
      <c r="BX33" s="81"/>
      <c r="BY33" s="81"/>
      <c r="BZ33" s="81"/>
      <c r="CA33" s="81"/>
      <c r="CB33" s="81"/>
      <c r="CC33" s="81"/>
      <c r="CD33" s="81"/>
      <c r="CE33" s="81"/>
      <c r="CF33" s="81"/>
      <c r="CG33" s="81"/>
      <c r="CH33" s="78"/>
      <c r="CI33" s="78"/>
      <c r="CJ33" s="78"/>
      <c r="CK33" s="78"/>
      <c r="CL33" s="78"/>
      <c r="CM33" s="78"/>
      <c r="CN33" s="78"/>
      <c r="CO33" s="78"/>
      <c r="CP33" s="78"/>
      <c r="CQ33" s="78"/>
      <c r="CR33" s="78"/>
      <c r="CS33" s="78"/>
      <c r="CT33" s="78"/>
      <c r="CU33" s="78"/>
      <c r="CV33" s="78"/>
      <c r="CW33" s="78"/>
      <c r="CX33" s="78"/>
      <c r="CY33" s="78"/>
      <c r="CZ33" s="78"/>
      <c r="DA33" s="78"/>
      <c r="DB33" s="78"/>
      <c r="DC33" s="78"/>
      <c r="DD33" s="78"/>
      <c r="DE33" s="78"/>
      <c r="DF33" s="78"/>
      <c r="DG33" s="78"/>
      <c r="DH33" s="78"/>
      <c r="DI33" s="78"/>
      <c r="DJ33" s="78"/>
      <c r="DK33" s="78"/>
      <c r="DL33" s="78"/>
      <c r="DM33" s="78"/>
      <c r="DN33" s="78"/>
      <c r="DO33" s="78"/>
      <c r="DP33" s="78"/>
      <c r="DQ33" s="78"/>
    </row>
    <row r="34" spans="1:121" s="83" customFormat="1" ht="30" customHeight="1" thickBot="1" x14ac:dyDescent="0.3">
      <c r="A34" s="80"/>
      <c r="B34" s="62" t="s">
        <v>35</v>
      </c>
      <c r="C34" s="38"/>
      <c r="D34" s="18">
        <v>0</v>
      </c>
      <c r="E34" s="54"/>
      <c r="F34" s="54"/>
      <c r="G34" s="72"/>
      <c r="H34" s="72" t="str">
        <f t="shared" si="17"/>
        <v/>
      </c>
      <c r="I34" s="81"/>
      <c r="J34" s="81"/>
      <c r="K34" s="81"/>
      <c r="L34" s="81"/>
      <c r="M34" s="81"/>
      <c r="N34" s="81"/>
      <c r="O34" s="81"/>
      <c r="P34" s="81"/>
      <c r="Q34" s="81"/>
      <c r="R34" s="81"/>
      <c r="S34" s="81"/>
      <c r="T34" s="81"/>
      <c r="U34" s="81"/>
      <c r="V34" s="81"/>
      <c r="W34" s="81"/>
      <c r="X34" s="81"/>
      <c r="Y34" s="81"/>
      <c r="Z34" s="81"/>
      <c r="AA34" s="81"/>
      <c r="AB34" s="81"/>
      <c r="AC34" s="81"/>
      <c r="AD34" s="81"/>
      <c r="AE34" s="81"/>
      <c r="AF34" s="81"/>
      <c r="AG34" s="81"/>
      <c r="AH34" s="81"/>
      <c r="AI34" s="81"/>
      <c r="AJ34" s="81"/>
      <c r="AK34" s="81"/>
      <c r="AL34" s="81"/>
      <c r="AM34" s="81"/>
      <c r="AN34" s="81"/>
      <c r="AO34" s="81"/>
      <c r="AP34" s="81"/>
      <c r="AQ34" s="81"/>
      <c r="AR34" s="81"/>
      <c r="AS34" s="81"/>
      <c r="AT34" s="81"/>
      <c r="AU34" s="81"/>
      <c r="AV34" s="81"/>
      <c r="AW34" s="81"/>
      <c r="AX34" s="81"/>
      <c r="AY34" s="81"/>
      <c r="AZ34" s="81"/>
      <c r="BA34" s="81"/>
      <c r="BB34" s="81"/>
      <c r="BC34" s="81"/>
      <c r="BD34" s="81"/>
      <c r="BE34" s="81"/>
      <c r="BF34" s="81"/>
      <c r="BG34" s="81"/>
      <c r="BH34" s="81"/>
      <c r="BI34" s="81"/>
      <c r="BJ34" s="81"/>
      <c r="BK34" s="81"/>
      <c r="BL34" s="81"/>
      <c r="BM34" s="81"/>
      <c r="BN34" s="81"/>
      <c r="BO34" s="81"/>
      <c r="BP34" s="81"/>
      <c r="BQ34" s="81"/>
      <c r="BR34" s="81"/>
      <c r="BS34" s="81"/>
      <c r="BT34" s="81"/>
      <c r="BU34" s="81"/>
      <c r="BV34" s="81"/>
      <c r="BW34" s="81"/>
      <c r="BX34" s="81"/>
      <c r="BY34" s="81"/>
      <c r="BZ34" s="81"/>
      <c r="CA34" s="81"/>
      <c r="CB34" s="81"/>
      <c r="CC34" s="81"/>
      <c r="CD34" s="81"/>
      <c r="CE34" s="81"/>
      <c r="CF34" s="81"/>
      <c r="CG34" s="81"/>
      <c r="CH34" s="82"/>
      <c r="CI34" s="82"/>
      <c r="CJ34" s="82"/>
      <c r="CK34" s="82"/>
      <c r="CL34" s="82"/>
      <c r="CM34" s="82"/>
      <c r="CN34" s="82"/>
      <c r="CO34" s="82"/>
      <c r="CP34" s="82"/>
      <c r="CQ34" s="82"/>
      <c r="CR34" s="82"/>
      <c r="CS34" s="82"/>
      <c r="CT34" s="82"/>
      <c r="CU34" s="82"/>
      <c r="CV34" s="82"/>
      <c r="CW34" s="82"/>
      <c r="CX34" s="82"/>
      <c r="CY34" s="82"/>
      <c r="CZ34" s="82"/>
      <c r="DA34" s="82"/>
      <c r="DB34" s="82"/>
      <c r="DC34" s="82"/>
      <c r="DD34" s="82"/>
      <c r="DE34" s="82"/>
      <c r="DF34" s="82"/>
      <c r="DG34" s="82"/>
      <c r="DH34" s="82"/>
      <c r="DI34" s="82"/>
      <c r="DJ34" s="82"/>
      <c r="DK34" s="82"/>
      <c r="DL34" s="82"/>
      <c r="DM34" s="82"/>
      <c r="DN34" s="82"/>
      <c r="DO34" s="82"/>
      <c r="DP34" s="82"/>
      <c r="DQ34" s="82"/>
    </row>
    <row r="35" spans="1:121" s="3" customFormat="1" ht="30" customHeight="1" thickBot="1" x14ac:dyDescent="0.3">
      <c r="A35" s="31"/>
      <c r="B35" s="42" t="s">
        <v>37</v>
      </c>
      <c r="C35" s="38"/>
      <c r="D35" s="18">
        <v>0</v>
      </c>
      <c r="E35" s="54">
        <v>45931</v>
      </c>
      <c r="F35" s="54">
        <v>45937</v>
      </c>
      <c r="G35" s="72"/>
      <c r="H35" s="14"/>
      <c r="I35" s="26"/>
      <c r="J35" s="26"/>
      <c r="K35" s="26"/>
      <c r="L35" s="26"/>
      <c r="M35" s="26"/>
      <c r="N35" s="26"/>
      <c r="O35" s="26"/>
      <c r="P35" s="26"/>
      <c r="Q35" s="26"/>
      <c r="R35" s="26"/>
      <c r="S35" s="26"/>
      <c r="T35" s="26"/>
      <c r="U35" s="26"/>
      <c r="V35" s="26"/>
      <c r="W35" s="26"/>
      <c r="X35" s="26"/>
      <c r="Y35" s="26"/>
      <c r="Z35" s="26"/>
      <c r="AA35" s="26"/>
      <c r="AB35" s="26"/>
      <c r="AC35" s="77"/>
      <c r="AD35" s="77"/>
      <c r="AE35" s="26"/>
      <c r="AF35" s="26"/>
      <c r="AG35" s="26"/>
      <c r="AH35" s="26"/>
      <c r="AI35" s="26"/>
      <c r="AJ35" s="26"/>
      <c r="AK35" s="26"/>
      <c r="AL35" s="26"/>
      <c r="AM35" s="26"/>
      <c r="AN35" s="26"/>
      <c r="AO35" s="26"/>
      <c r="AP35" s="26"/>
      <c r="AQ35" s="26"/>
      <c r="AR35" s="26"/>
      <c r="AS35" s="26"/>
      <c r="AT35" s="26"/>
      <c r="AU35" s="26"/>
      <c r="AV35" s="26"/>
      <c r="AW35" s="26"/>
      <c r="AX35" s="26"/>
      <c r="AY35" s="26"/>
      <c r="AZ35" s="26"/>
      <c r="BA35" s="26"/>
      <c r="BB35" s="26"/>
      <c r="BC35" s="26"/>
      <c r="BD35" s="26"/>
      <c r="BE35" s="26"/>
      <c r="BF35" s="26"/>
      <c r="BG35" s="26"/>
      <c r="BH35" s="26"/>
      <c r="BI35" s="26"/>
      <c r="BJ35" s="26"/>
      <c r="BK35" s="26"/>
      <c r="BL35" s="26"/>
      <c r="BM35" s="26"/>
      <c r="BN35" s="26"/>
      <c r="BO35" s="26"/>
      <c r="BP35" s="26"/>
      <c r="BQ35" s="56"/>
      <c r="BR35" s="56"/>
      <c r="BS35" s="56"/>
      <c r="BT35" s="56"/>
      <c r="BU35" s="56"/>
      <c r="BV35" s="56"/>
      <c r="BW35" s="56"/>
      <c r="BX35" s="56"/>
      <c r="BY35" s="56"/>
      <c r="BZ35" s="56"/>
      <c r="CA35" s="56"/>
      <c r="CB35" s="56"/>
      <c r="CC35" s="56"/>
      <c r="CD35" s="56"/>
      <c r="CE35" s="56"/>
      <c r="CF35" s="56"/>
      <c r="CG35" s="56"/>
      <c r="CH35"/>
      <c r="CI35"/>
      <c r="CJ35"/>
      <c r="CK35"/>
      <c r="CL35"/>
      <c r="CM35"/>
      <c r="CN35"/>
      <c r="CO35"/>
      <c r="CP35"/>
      <c r="CQ35"/>
      <c r="CR35"/>
      <c r="CS35"/>
      <c r="CT35"/>
      <c r="CU35"/>
      <c r="CV35"/>
      <c r="CW35"/>
      <c r="CX35"/>
      <c r="CY35"/>
      <c r="CZ35"/>
      <c r="DA35"/>
      <c r="DB35"/>
      <c r="DC35"/>
      <c r="DD35"/>
      <c r="DE35"/>
      <c r="DF35"/>
      <c r="DG35"/>
      <c r="DH35"/>
      <c r="DI35"/>
      <c r="DJ35"/>
      <c r="DK35"/>
      <c r="DL35"/>
      <c r="DM35"/>
      <c r="DN35"/>
      <c r="DO35"/>
      <c r="DP35"/>
      <c r="DQ35"/>
    </row>
    <row r="36" spans="1:121" s="3" customFormat="1" ht="30" customHeight="1" thickBot="1" x14ac:dyDescent="0.3">
      <c r="A36" s="31"/>
      <c r="B36" s="42" t="s">
        <v>39</v>
      </c>
      <c r="C36" s="38"/>
      <c r="D36" s="18">
        <v>0</v>
      </c>
      <c r="E36" s="54">
        <v>45933</v>
      </c>
      <c r="F36" s="54">
        <v>45937</v>
      </c>
      <c r="G36" s="72"/>
      <c r="H36" s="14"/>
      <c r="I36" s="26"/>
      <c r="J36" s="26"/>
      <c r="K36" s="26"/>
      <c r="L36" s="26"/>
      <c r="M36" s="26"/>
      <c r="N36" s="26"/>
      <c r="O36" s="26"/>
      <c r="P36" s="26"/>
      <c r="Q36" s="26"/>
      <c r="R36" s="26"/>
      <c r="S36" s="26"/>
      <c r="T36" s="26"/>
      <c r="U36" s="26"/>
      <c r="V36" s="26"/>
      <c r="W36" s="26"/>
      <c r="X36" s="26"/>
      <c r="Y36" s="26"/>
      <c r="Z36" s="26"/>
      <c r="AA36" s="26"/>
      <c r="AB36" s="26"/>
      <c r="AC36" s="77"/>
      <c r="AD36" s="77"/>
      <c r="AE36" s="26"/>
      <c r="AF36" s="26"/>
      <c r="AG36" s="26"/>
      <c r="AH36" s="26"/>
      <c r="AI36" s="26"/>
      <c r="AJ36" s="26"/>
      <c r="AK36" s="26"/>
      <c r="AL36" s="26"/>
      <c r="AM36" s="26"/>
      <c r="AN36" s="26"/>
      <c r="AO36" s="26"/>
      <c r="AP36" s="26"/>
      <c r="AQ36" s="26"/>
      <c r="AR36" s="26"/>
      <c r="AS36" s="26"/>
      <c r="AT36" s="26"/>
      <c r="AU36" s="26"/>
      <c r="AV36" s="26"/>
      <c r="AW36" s="26"/>
      <c r="AX36" s="26"/>
      <c r="AY36" s="26"/>
      <c r="AZ36" s="26"/>
      <c r="BA36" s="26"/>
      <c r="BB36" s="26"/>
      <c r="BC36" s="26"/>
      <c r="BD36" s="26"/>
      <c r="BE36" s="26"/>
      <c r="BF36" s="26"/>
      <c r="BG36" s="26"/>
      <c r="BH36" s="26"/>
      <c r="BI36" s="26"/>
      <c r="BJ36" s="26"/>
      <c r="BK36" s="26"/>
      <c r="BL36" s="26"/>
      <c r="BM36" s="26"/>
      <c r="BN36" s="26"/>
      <c r="BO36" s="26"/>
      <c r="BP36" s="26"/>
      <c r="BQ36" s="56"/>
      <c r="BR36" s="56"/>
      <c r="BS36" s="56"/>
      <c r="BT36" s="56"/>
      <c r="BU36" s="56"/>
      <c r="BV36" s="56"/>
      <c r="BW36" s="56"/>
      <c r="BX36" s="56"/>
      <c r="BY36" s="56"/>
      <c r="BZ36" s="56"/>
      <c r="CA36" s="56"/>
      <c r="CB36" s="56"/>
      <c r="CC36" s="56"/>
      <c r="CD36" s="56"/>
      <c r="CE36" s="56"/>
      <c r="CF36" s="56"/>
      <c r="CG36" s="56"/>
      <c r="CH36"/>
      <c r="CI36"/>
      <c r="CJ36"/>
      <c r="CK36"/>
      <c r="CL36"/>
      <c r="CM36"/>
      <c r="CN36"/>
      <c r="CO36"/>
      <c r="CP36"/>
      <c r="CQ36"/>
      <c r="CR36"/>
      <c r="CS36"/>
      <c r="CT36"/>
      <c r="CU36"/>
      <c r="CV36"/>
      <c r="CW36"/>
      <c r="CX36"/>
      <c r="CY36"/>
      <c r="CZ36"/>
      <c r="DA36"/>
      <c r="DB36"/>
      <c r="DC36"/>
      <c r="DD36"/>
      <c r="DE36"/>
      <c r="DF36"/>
      <c r="DG36"/>
      <c r="DH36"/>
      <c r="DI36"/>
      <c r="DJ36"/>
      <c r="DK36"/>
      <c r="DL36"/>
      <c r="DM36"/>
      <c r="DN36"/>
      <c r="DO36"/>
      <c r="DP36"/>
      <c r="DQ36"/>
    </row>
    <row r="37" spans="1:121" s="3" customFormat="1" ht="30" customHeight="1" thickBot="1" x14ac:dyDescent="0.3">
      <c r="A37" s="31"/>
      <c r="B37" s="42" t="s">
        <v>38</v>
      </c>
      <c r="C37" s="38"/>
      <c r="D37" s="18">
        <v>0</v>
      </c>
      <c r="E37" s="54">
        <v>45937</v>
      </c>
      <c r="F37" s="54">
        <v>45937</v>
      </c>
      <c r="G37" s="72"/>
      <c r="H37" s="14"/>
      <c r="I37" s="26"/>
      <c r="J37" s="26"/>
      <c r="K37" s="26"/>
      <c r="L37" s="26"/>
      <c r="M37" s="26"/>
      <c r="N37" s="26"/>
      <c r="O37" s="26"/>
      <c r="P37" s="26"/>
      <c r="Q37" s="26"/>
      <c r="R37" s="26"/>
      <c r="S37" s="26"/>
      <c r="T37" s="26"/>
      <c r="U37" s="26"/>
      <c r="V37" s="26"/>
      <c r="W37" s="26"/>
      <c r="X37" s="26"/>
      <c r="Y37" s="26"/>
      <c r="Z37" s="26"/>
      <c r="AA37" s="26"/>
      <c r="AB37" s="26"/>
      <c r="AC37" s="77"/>
      <c r="AD37" s="77"/>
      <c r="AE37" s="26"/>
      <c r="AF37" s="26"/>
      <c r="AG37" s="26"/>
      <c r="AH37" s="26"/>
      <c r="AI37" s="26"/>
      <c r="AJ37" s="26"/>
      <c r="AK37" s="26"/>
      <c r="AL37" s="26"/>
      <c r="AM37" s="26"/>
      <c r="AN37" s="26"/>
      <c r="AO37" s="26"/>
      <c r="AP37" s="26"/>
      <c r="AQ37" s="26"/>
      <c r="AR37" s="26"/>
      <c r="AS37" s="26"/>
      <c r="AT37" s="26"/>
      <c r="AU37" s="26"/>
      <c r="AV37" s="26"/>
      <c r="AW37" s="26"/>
      <c r="AX37" s="26"/>
      <c r="AY37" s="26"/>
      <c r="AZ37" s="26"/>
      <c r="BA37" s="26"/>
      <c r="BB37" s="26"/>
      <c r="BC37" s="26"/>
      <c r="BD37" s="26"/>
      <c r="BE37" s="26"/>
      <c r="BF37" s="26"/>
      <c r="BG37" s="26"/>
      <c r="BH37" s="26"/>
      <c r="BI37" s="26"/>
      <c r="BJ37" s="26"/>
      <c r="BK37" s="26"/>
      <c r="BL37" s="26"/>
      <c r="BM37" s="26"/>
      <c r="BN37" s="26"/>
      <c r="BO37" s="26"/>
      <c r="BP37" s="26"/>
      <c r="BQ37" s="56"/>
      <c r="BR37" s="56"/>
      <c r="BS37" s="56"/>
      <c r="BT37" s="56"/>
      <c r="BU37" s="56"/>
      <c r="BV37" s="56"/>
      <c r="BW37" s="56"/>
      <c r="BX37" s="56"/>
      <c r="BY37" s="56"/>
      <c r="BZ37" s="56"/>
      <c r="CA37" s="56"/>
      <c r="CB37" s="56"/>
      <c r="CC37" s="56"/>
      <c r="CD37" s="56"/>
      <c r="CE37" s="56"/>
      <c r="CF37" s="56"/>
      <c r="CG37" s="56"/>
      <c r="CH37"/>
      <c r="CI37"/>
      <c r="CJ37"/>
      <c r="CK37"/>
      <c r="CL37"/>
      <c r="CM37"/>
      <c r="CN37"/>
      <c r="CO37"/>
      <c r="CP37"/>
      <c r="CQ37"/>
      <c r="CR37"/>
      <c r="CS37"/>
      <c r="CT37"/>
      <c r="CU37"/>
      <c r="CV37"/>
      <c r="CW37"/>
      <c r="CX37"/>
      <c r="CY37"/>
      <c r="CZ37"/>
      <c r="DA37"/>
      <c r="DB37"/>
      <c r="DC37"/>
      <c r="DD37"/>
      <c r="DE37"/>
      <c r="DF37"/>
      <c r="DG37"/>
      <c r="DH37"/>
      <c r="DI37"/>
      <c r="DJ37"/>
      <c r="DK37"/>
      <c r="DL37"/>
      <c r="DM37"/>
      <c r="DN37"/>
      <c r="DO37"/>
      <c r="DP37"/>
      <c r="DQ37"/>
    </row>
    <row r="38" spans="1:121" s="3" customFormat="1" ht="30" customHeight="1" thickBot="1" x14ac:dyDescent="0.3">
      <c r="A38" s="31"/>
      <c r="B38" s="42" t="s">
        <v>56</v>
      </c>
      <c r="C38" s="38"/>
      <c r="D38" s="18">
        <v>0</v>
      </c>
      <c r="E38" s="54">
        <v>45937</v>
      </c>
      <c r="F38" s="54">
        <v>45937</v>
      </c>
      <c r="G38" s="72"/>
      <c r="H38" s="14"/>
      <c r="I38" s="26"/>
      <c r="J38" s="26"/>
      <c r="K38" s="26"/>
      <c r="L38" s="26"/>
      <c r="M38" s="26"/>
      <c r="N38" s="26"/>
      <c r="O38" s="26"/>
      <c r="P38" s="26"/>
      <c r="Q38" s="26"/>
      <c r="R38" s="26"/>
      <c r="S38" s="26"/>
      <c r="T38" s="26"/>
      <c r="U38" s="26"/>
      <c r="V38" s="26"/>
      <c r="W38" s="26"/>
      <c r="X38" s="26"/>
      <c r="Y38" s="26"/>
      <c r="Z38" s="26"/>
      <c r="AA38" s="26"/>
      <c r="AB38" s="26"/>
      <c r="AC38" s="77"/>
      <c r="AD38" s="77"/>
      <c r="AE38" s="26"/>
      <c r="AF38" s="26"/>
      <c r="AG38" s="26"/>
      <c r="AH38" s="26"/>
      <c r="AI38" s="26"/>
      <c r="AJ38" s="26"/>
      <c r="AK38" s="26"/>
      <c r="AL38" s="26"/>
      <c r="AM38" s="26"/>
      <c r="AN38" s="26"/>
      <c r="AO38" s="26"/>
      <c r="AP38" s="26"/>
      <c r="AQ38" s="26"/>
      <c r="AR38" s="26"/>
      <c r="AS38" s="26"/>
      <c r="AT38" s="26"/>
      <c r="AU38" s="26"/>
      <c r="AV38" s="26"/>
      <c r="AW38" s="26"/>
      <c r="AX38" s="26"/>
      <c r="AY38" s="26"/>
      <c r="AZ38" s="26"/>
      <c r="BA38" s="26"/>
      <c r="BB38" s="26"/>
      <c r="BC38" s="26"/>
      <c r="BD38" s="26"/>
      <c r="BE38" s="26"/>
      <c r="BF38" s="26"/>
      <c r="BG38" s="26"/>
      <c r="BH38" s="26"/>
      <c r="BI38" s="26"/>
      <c r="BJ38" s="26"/>
      <c r="BK38" s="26"/>
      <c r="BL38" s="26"/>
      <c r="BM38" s="26"/>
      <c r="BN38" s="26"/>
      <c r="BO38" s="26"/>
      <c r="BP38" s="26"/>
      <c r="BQ38" s="56"/>
      <c r="BR38" s="56"/>
      <c r="BS38" s="56"/>
      <c r="BT38" s="56"/>
      <c r="BU38" s="56"/>
      <c r="BV38" s="56"/>
      <c r="BW38" s="56"/>
      <c r="BX38" s="56"/>
      <c r="BY38" s="56"/>
      <c r="BZ38" s="56"/>
      <c r="CA38" s="56"/>
      <c r="CB38" s="56"/>
      <c r="CC38" s="56"/>
      <c r="CD38" s="56"/>
      <c r="CE38" s="56"/>
      <c r="CF38" s="56"/>
      <c r="CG38" s="56"/>
      <c r="CH38"/>
      <c r="CI38"/>
      <c r="CJ38"/>
      <c r="CK38"/>
      <c r="CL38"/>
      <c r="CM38"/>
      <c r="CN38"/>
      <c r="CO38"/>
      <c r="CP38"/>
      <c r="CQ38"/>
      <c r="CR38"/>
      <c r="CS38"/>
      <c r="CT38"/>
      <c r="CU38"/>
      <c r="CV38"/>
      <c r="CW38"/>
      <c r="CX38"/>
      <c r="CY38"/>
      <c r="CZ38"/>
      <c r="DA38"/>
      <c r="DB38"/>
      <c r="DC38"/>
      <c r="DD38"/>
      <c r="DE38"/>
      <c r="DF38"/>
      <c r="DG38"/>
      <c r="DH38"/>
      <c r="DI38"/>
      <c r="DJ38"/>
      <c r="DK38"/>
      <c r="DL38"/>
      <c r="DM38"/>
      <c r="DN38"/>
      <c r="DO38"/>
      <c r="DP38"/>
      <c r="DQ38"/>
    </row>
    <row r="39" spans="1:121" s="3" customFormat="1" ht="30" customHeight="1" thickBot="1" x14ac:dyDescent="0.3">
      <c r="A39" s="31"/>
      <c r="B39" s="42" t="s">
        <v>54</v>
      </c>
      <c r="C39" s="38"/>
      <c r="D39" s="18">
        <v>0</v>
      </c>
      <c r="E39" s="54">
        <v>45938</v>
      </c>
      <c r="F39" s="54">
        <v>45940</v>
      </c>
      <c r="G39" s="72"/>
      <c r="H39" s="14"/>
      <c r="I39" s="26"/>
      <c r="J39" s="26"/>
      <c r="K39" s="26"/>
      <c r="L39" s="26"/>
      <c r="M39" s="26"/>
      <c r="N39" s="26"/>
      <c r="O39" s="26"/>
      <c r="P39" s="26"/>
      <c r="Q39" s="26"/>
      <c r="R39" s="26"/>
      <c r="S39" s="26"/>
      <c r="T39" s="26"/>
      <c r="U39" s="26"/>
      <c r="V39" s="26"/>
      <c r="W39" s="26"/>
      <c r="X39" s="26"/>
      <c r="Y39" s="26"/>
      <c r="Z39" s="26"/>
      <c r="AA39" s="26"/>
      <c r="AB39" s="26"/>
      <c r="AC39" s="77"/>
      <c r="AD39" s="77"/>
      <c r="AE39" s="26"/>
      <c r="AF39" s="26"/>
      <c r="AG39" s="26"/>
      <c r="AH39" s="26"/>
      <c r="AI39" s="26"/>
      <c r="AJ39" s="26"/>
      <c r="AK39" s="26"/>
      <c r="AL39" s="26"/>
      <c r="AM39" s="26"/>
      <c r="AN39" s="26"/>
      <c r="AO39" s="26"/>
      <c r="AP39" s="26"/>
      <c r="AQ39" s="26"/>
      <c r="AR39" s="26"/>
      <c r="AS39" s="26"/>
      <c r="AT39" s="26"/>
      <c r="AU39" s="26"/>
      <c r="AV39" s="26"/>
      <c r="AW39" s="26"/>
      <c r="AX39" s="26"/>
      <c r="AY39" s="26"/>
      <c r="AZ39" s="26"/>
      <c r="BA39" s="26"/>
      <c r="BB39" s="26"/>
      <c r="BC39" s="26"/>
      <c r="BD39" s="26"/>
      <c r="BE39" s="26"/>
      <c r="BF39" s="26"/>
      <c r="BG39" s="26"/>
      <c r="BH39" s="26"/>
      <c r="BI39" s="26"/>
      <c r="BJ39" s="26"/>
      <c r="BK39" s="26"/>
      <c r="BL39" s="26"/>
      <c r="BM39" s="26"/>
      <c r="BN39" s="26"/>
      <c r="BO39" s="26"/>
      <c r="BP39" s="26"/>
      <c r="BQ39" s="56"/>
      <c r="BR39" s="56"/>
      <c r="BS39" s="56"/>
      <c r="BT39" s="56"/>
      <c r="BU39" s="56"/>
      <c r="BV39" s="56"/>
      <c r="BW39" s="56"/>
      <c r="BX39" s="56"/>
      <c r="BY39" s="56"/>
      <c r="BZ39" s="56"/>
      <c r="CA39" s="56"/>
      <c r="CB39" s="56"/>
      <c r="CC39" s="56"/>
      <c r="CD39" s="56"/>
      <c r="CE39" s="56"/>
      <c r="CF39" s="56"/>
      <c r="CG39" s="56"/>
      <c r="CH39"/>
      <c r="CI39"/>
      <c r="CJ39"/>
      <c r="CK39"/>
      <c r="CL39"/>
      <c r="CM39"/>
      <c r="CN39"/>
      <c r="CO39"/>
      <c r="CP39"/>
      <c r="CQ39"/>
      <c r="CR39"/>
      <c r="CS39"/>
      <c r="CT39"/>
      <c r="CU39"/>
      <c r="CV39"/>
      <c r="CW39"/>
      <c r="CX39"/>
      <c r="CY39"/>
      <c r="CZ39"/>
      <c r="DA39"/>
      <c r="DB39"/>
      <c r="DC39"/>
      <c r="DD39"/>
      <c r="DE39"/>
      <c r="DF39"/>
      <c r="DG39"/>
      <c r="DH39"/>
      <c r="DI39"/>
      <c r="DJ39"/>
      <c r="DK39"/>
      <c r="DL39"/>
      <c r="DM39"/>
      <c r="DN39"/>
      <c r="DO39"/>
      <c r="DP39"/>
      <c r="DQ39"/>
    </row>
    <row r="40" spans="1:121" s="3" customFormat="1" ht="30" customHeight="1" thickBot="1" x14ac:dyDescent="0.3">
      <c r="A40" s="31"/>
      <c r="B40" s="42" t="s">
        <v>55</v>
      </c>
      <c r="C40" s="38"/>
      <c r="D40" s="18">
        <v>0</v>
      </c>
      <c r="E40" s="54">
        <v>45940</v>
      </c>
      <c r="F40" s="54">
        <v>45945</v>
      </c>
      <c r="G40" s="72"/>
      <c r="H40" s="14"/>
      <c r="I40" s="26"/>
      <c r="J40" s="26"/>
      <c r="K40" s="26"/>
      <c r="L40" s="26"/>
      <c r="M40" s="26"/>
      <c r="N40" s="26"/>
      <c r="O40" s="26"/>
      <c r="P40" s="26"/>
      <c r="Q40" s="26"/>
      <c r="R40" s="26"/>
      <c r="S40" s="26"/>
      <c r="T40" s="26"/>
      <c r="U40" s="26"/>
      <c r="V40" s="26"/>
      <c r="W40" s="26"/>
      <c r="X40" s="26"/>
      <c r="Y40" s="26"/>
      <c r="Z40" s="26"/>
      <c r="AA40" s="26"/>
      <c r="AB40" s="26"/>
      <c r="AC40" s="77"/>
      <c r="AD40" s="77"/>
      <c r="AE40" s="26"/>
      <c r="AF40" s="26"/>
      <c r="AG40" s="26"/>
      <c r="AH40" s="26"/>
      <c r="AI40" s="26"/>
      <c r="AJ40" s="26"/>
      <c r="AK40" s="26"/>
      <c r="AL40" s="26"/>
      <c r="AM40" s="26"/>
      <c r="AN40" s="26"/>
      <c r="AO40" s="26"/>
      <c r="AP40" s="26"/>
      <c r="AQ40" s="26"/>
      <c r="AR40" s="26"/>
      <c r="AS40" s="26"/>
      <c r="AT40" s="26"/>
      <c r="AU40" s="26"/>
      <c r="AV40" s="26"/>
      <c r="AW40" s="26"/>
      <c r="AX40" s="26"/>
      <c r="AY40" s="26"/>
      <c r="AZ40" s="26"/>
      <c r="BA40" s="26"/>
      <c r="BB40" s="26"/>
      <c r="BC40" s="26"/>
      <c r="BD40" s="26"/>
      <c r="BE40" s="26"/>
      <c r="BF40" s="26"/>
      <c r="BG40" s="26"/>
      <c r="BH40" s="26"/>
      <c r="BI40" s="26"/>
      <c r="BJ40" s="26"/>
      <c r="BK40" s="26"/>
      <c r="BL40" s="26"/>
      <c r="BM40" s="26"/>
      <c r="BN40" s="26"/>
      <c r="BO40" s="26"/>
      <c r="BP40" s="26"/>
      <c r="BQ40" s="56"/>
      <c r="BR40" s="56"/>
      <c r="BS40" s="56"/>
      <c r="BT40" s="56"/>
      <c r="BU40" s="56"/>
      <c r="BV40" s="56"/>
      <c r="BW40" s="56"/>
      <c r="BX40" s="56"/>
      <c r="BY40" s="56"/>
      <c r="BZ40" s="56"/>
      <c r="CA40" s="56"/>
      <c r="CB40" s="56"/>
      <c r="CC40" s="56"/>
      <c r="CD40" s="56"/>
      <c r="CE40" s="56"/>
      <c r="CF40" s="56"/>
      <c r="CG40" s="56"/>
      <c r="CH40"/>
      <c r="CI40"/>
      <c r="CJ40"/>
      <c r="CK40"/>
      <c r="CL40"/>
      <c r="CM40"/>
      <c r="CN40"/>
      <c r="CO40"/>
      <c r="CP40"/>
      <c r="CQ40"/>
      <c r="CR40"/>
      <c r="CS40"/>
      <c r="CT40"/>
      <c r="CU40"/>
      <c r="CV40"/>
      <c r="CW40"/>
      <c r="CX40"/>
      <c r="CY40"/>
      <c r="CZ40"/>
      <c r="DA40"/>
      <c r="DB40"/>
      <c r="DC40"/>
      <c r="DD40"/>
      <c r="DE40"/>
      <c r="DF40"/>
      <c r="DG40"/>
      <c r="DH40"/>
      <c r="DI40"/>
      <c r="DJ40"/>
      <c r="DK40"/>
      <c r="DL40"/>
      <c r="DM40"/>
      <c r="DN40"/>
      <c r="DO40"/>
      <c r="DP40"/>
      <c r="DQ40"/>
    </row>
    <row r="41" spans="1:121" s="83" customFormat="1" ht="30" customHeight="1" thickBot="1" x14ac:dyDescent="0.3">
      <c r="A41" s="80"/>
      <c r="B41" s="62" t="s">
        <v>36</v>
      </c>
      <c r="C41" s="38"/>
      <c r="D41" s="18"/>
      <c r="E41" s="54"/>
      <c r="F41" s="54"/>
      <c r="G41" s="72"/>
      <c r="H41" s="72"/>
      <c r="I41" s="81"/>
      <c r="J41" s="81"/>
      <c r="K41" s="81"/>
      <c r="L41" s="81"/>
      <c r="M41" s="81"/>
      <c r="N41" s="81"/>
      <c r="O41" s="81"/>
      <c r="P41" s="81"/>
      <c r="Q41" s="81"/>
      <c r="R41" s="81"/>
      <c r="S41" s="81"/>
      <c r="T41" s="81"/>
      <c r="U41" s="81"/>
      <c r="V41" s="81"/>
      <c r="W41" s="81"/>
      <c r="X41" s="81"/>
      <c r="Y41" s="81"/>
      <c r="Z41" s="81"/>
      <c r="AA41" s="81"/>
      <c r="AB41" s="81"/>
      <c r="AC41" s="81"/>
      <c r="AD41" s="81"/>
      <c r="AE41" s="81"/>
      <c r="AF41" s="81"/>
      <c r="AG41" s="81"/>
      <c r="AH41" s="81"/>
      <c r="AI41" s="81"/>
      <c r="AJ41" s="81"/>
      <c r="AK41" s="81"/>
      <c r="AL41" s="81"/>
      <c r="AM41" s="81"/>
      <c r="AN41" s="81"/>
      <c r="AO41" s="81"/>
      <c r="AP41" s="81"/>
      <c r="AQ41" s="81"/>
      <c r="AR41" s="81"/>
      <c r="AS41" s="81"/>
      <c r="AT41" s="81"/>
      <c r="AU41" s="81"/>
      <c r="AV41" s="81"/>
      <c r="AW41" s="81"/>
      <c r="AX41" s="81"/>
      <c r="AY41" s="81"/>
      <c r="AZ41" s="81"/>
      <c r="BA41" s="81"/>
      <c r="BB41" s="81"/>
      <c r="BC41" s="81"/>
      <c r="BD41" s="81"/>
      <c r="BE41" s="81"/>
      <c r="BF41" s="81"/>
      <c r="BG41" s="81"/>
      <c r="BH41" s="81"/>
      <c r="BI41" s="81"/>
      <c r="BJ41" s="81"/>
      <c r="BK41" s="81"/>
      <c r="BL41" s="81"/>
      <c r="BM41" s="81"/>
      <c r="BN41" s="81"/>
      <c r="BO41" s="81"/>
      <c r="BP41" s="81"/>
      <c r="BQ41" s="81"/>
      <c r="BR41" s="81"/>
      <c r="BS41" s="81"/>
      <c r="BT41" s="81"/>
      <c r="BU41" s="81"/>
      <c r="BV41" s="81"/>
      <c r="BW41" s="81"/>
      <c r="BX41" s="81"/>
      <c r="BY41" s="81"/>
      <c r="BZ41" s="81"/>
      <c r="CA41" s="81"/>
      <c r="CB41" s="81"/>
      <c r="CC41" s="81"/>
      <c r="CD41" s="81"/>
      <c r="CE41" s="81"/>
      <c r="CF41" s="81"/>
      <c r="CG41" s="81"/>
      <c r="CH41" s="82"/>
      <c r="CI41" s="82"/>
      <c r="CJ41" s="82"/>
      <c r="CK41" s="82"/>
      <c r="CL41" s="82"/>
      <c r="CM41" s="82"/>
      <c r="CN41" s="82"/>
      <c r="CO41" s="82"/>
      <c r="CP41" s="82"/>
      <c r="CQ41" s="82"/>
      <c r="CR41" s="82"/>
      <c r="CS41" s="82"/>
      <c r="CT41" s="82"/>
      <c r="CU41" s="82"/>
      <c r="CV41" s="82"/>
      <c r="CW41" s="82"/>
      <c r="CX41" s="82"/>
      <c r="CY41" s="82"/>
      <c r="CZ41" s="82"/>
      <c r="DA41" s="82"/>
      <c r="DB41" s="82"/>
      <c r="DC41" s="82"/>
      <c r="DD41" s="82"/>
      <c r="DE41" s="82"/>
      <c r="DF41" s="82"/>
      <c r="DG41" s="82"/>
      <c r="DH41" s="82"/>
      <c r="DI41" s="82"/>
      <c r="DJ41" s="82"/>
      <c r="DK41" s="82"/>
      <c r="DL41" s="82"/>
      <c r="DM41" s="82"/>
      <c r="DN41" s="82"/>
      <c r="DO41" s="82"/>
      <c r="DP41" s="82"/>
      <c r="DQ41" s="82"/>
    </row>
    <row r="42" spans="1:121" s="3" customFormat="1" ht="30" customHeight="1" thickBot="1" x14ac:dyDescent="0.3">
      <c r="A42" s="31"/>
      <c r="B42" s="42" t="s">
        <v>63</v>
      </c>
      <c r="C42" s="38"/>
      <c r="D42" s="18">
        <v>0</v>
      </c>
      <c r="E42" s="54">
        <v>45933</v>
      </c>
      <c r="F42" s="54">
        <v>45933</v>
      </c>
      <c r="G42" s="72"/>
      <c r="H42" s="14"/>
      <c r="I42" s="26"/>
      <c r="J42" s="26"/>
      <c r="K42" s="26"/>
      <c r="L42" s="26"/>
      <c r="M42" s="26"/>
      <c r="N42" s="26"/>
      <c r="O42" s="26"/>
      <c r="P42" s="26"/>
      <c r="Q42" s="26"/>
      <c r="R42" s="26"/>
      <c r="S42" s="26"/>
      <c r="T42" s="26"/>
      <c r="U42" s="26"/>
      <c r="V42" s="26"/>
      <c r="W42" s="26"/>
      <c r="X42" s="26"/>
      <c r="Y42" s="26"/>
      <c r="Z42" s="26"/>
      <c r="AA42" s="26"/>
      <c r="AB42" s="26"/>
      <c r="AC42" s="77"/>
      <c r="AD42" s="77"/>
      <c r="AE42" s="26"/>
      <c r="AF42" s="26"/>
      <c r="AG42" s="26"/>
      <c r="AH42" s="26"/>
      <c r="AI42" s="26"/>
      <c r="AJ42" s="26"/>
      <c r="AK42" s="26"/>
      <c r="AL42" s="26"/>
      <c r="AM42" s="26"/>
      <c r="AN42" s="26"/>
      <c r="AO42" s="26"/>
      <c r="AP42" s="26"/>
      <c r="AQ42" s="26"/>
      <c r="AR42" s="26"/>
      <c r="AS42" s="26"/>
      <c r="AT42" s="26"/>
      <c r="AU42" s="26"/>
      <c r="AV42" s="26"/>
      <c r="AW42" s="26"/>
      <c r="AX42" s="26"/>
      <c r="AY42" s="26"/>
      <c r="AZ42" s="26"/>
      <c r="BA42" s="26"/>
      <c r="BB42" s="26"/>
      <c r="BC42" s="26"/>
      <c r="BD42" s="26"/>
      <c r="BE42" s="26"/>
      <c r="BF42" s="26"/>
      <c r="BG42" s="26"/>
      <c r="BH42" s="26"/>
      <c r="BI42" s="26"/>
      <c r="BJ42" s="26"/>
      <c r="BK42" s="26"/>
      <c r="BL42" s="26"/>
      <c r="BM42" s="26"/>
      <c r="BN42" s="26"/>
      <c r="BO42" s="26"/>
      <c r="BP42" s="26"/>
      <c r="BQ42" s="56"/>
      <c r="BR42" s="56"/>
      <c r="BS42" s="56"/>
      <c r="BT42" s="56"/>
      <c r="BU42" s="56"/>
      <c r="BV42" s="56"/>
      <c r="BW42" s="56"/>
      <c r="BX42" s="56"/>
      <c r="BY42" s="56"/>
      <c r="BZ42" s="56"/>
      <c r="CA42" s="56"/>
      <c r="CB42" s="56"/>
      <c r="CC42" s="56"/>
      <c r="CD42" s="56"/>
      <c r="CE42" s="56"/>
      <c r="CF42" s="56"/>
      <c r="CG42" s="56"/>
      <c r="CH42"/>
      <c r="CI42"/>
      <c r="CJ42"/>
      <c r="CK42"/>
      <c r="CL42"/>
      <c r="CM42"/>
      <c r="CN42"/>
      <c r="CO42"/>
      <c r="CP42"/>
      <c r="CQ42"/>
      <c r="CR42"/>
      <c r="CS42"/>
      <c r="CT42"/>
      <c r="CU42"/>
      <c r="CV42"/>
      <c r="CW42"/>
      <c r="CX42"/>
      <c r="CY42"/>
      <c r="CZ42"/>
      <c r="DA42"/>
      <c r="DB42"/>
      <c r="DC42"/>
      <c r="DD42"/>
      <c r="DE42"/>
      <c r="DF42"/>
      <c r="DG42"/>
      <c r="DH42"/>
      <c r="DI42"/>
      <c r="DJ42"/>
      <c r="DK42"/>
      <c r="DL42"/>
      <c r="DM42"/>
      <c r="DN42"/>
      <c r="DO42"/>
      <c r="DP42"/>
      <c r="DQ42"/>
    </row>
    <row r="43" spans="1:121" s="3" customFormat="1" ht="30" customHeight="1" thickBot="1" x14ac:dyDescent="0.3">
      <c r="A43" s="31"/>
      <c r="B43" s="42" t="s">
        <v>64</v>
      </c>
      <c r="C43" s="38"/>
      <c r="D43" s="18">
        <v>0</v>
      </c>
      <c r="E43" s="54">
        <v>45936</v>
      </c>
      <c r="F43" s="54">
        <v>45936</v>
      </c>
      <c r="G43" s="72"/>
      <c r="H43" s="14"/>
      <c r="I43" s="26"/>
      <c r="J43" s="26"/>
      <c r="K43" s="26"/>
      <c r="L43" s="26"/>
      <c r="M43" s="26"/>
      <c r="N43" s="26"/>
      <c r="O43" s="26"/>
      <c r="P43" s="26"/>
      <c r="Q43" s="26"/>
      <c r="R43" s="26"/>
      <c r="S43" s="26"/>
      <c r="T43" s="26"/>
      <c r="U43" s="26"/>
      <c r="V43" s="26"/>
      <c r="W43" s="26"/>
      <c r="X43" s="26"/>
      <c r="Y43" s="26"/>
      <c r="Z43" s="26"/>
      <c r="AA43" s="26"/>
      <c r="AB43" s="26"/>
      <c r="AC43" s="77"/>
      <c r="AD43" s="77"/>
      <c r="AE43" s="26"/>
      <c r="AF43" s="26"/>
      <c r="AG43" s="26"/>
      <c r="AH43" s="26"/>
      <c r="AI43" s="26"/>
      <c r="AJ43" s="26"/>
      <c r="AK43" s="26"/>
      <c r="AL43" s="26"/>
      <c r="AM43" s="26"/>
      <c r="AN43" s="26"/>
      <c r="AO43" s="26"/>
      <c r="AP43" s="26"/>
      <c r="AQ43" s="26"/>
      <c r="AR43" s="26"/>
      <c r="AS43" s="26"/>
      <c r="AT43" s="26"/>
      <c r="AU43" s="26"/>
      <c r="AV43" s="26"/>
      <c r="AW43" s="26"/>
      <c r="AX43" s="26"/>
      <c r="AY43" s="26"/>
      <c r="AZ43" s="26"/>
      <c r="BA43" s="26"/>
      <c r="BB43" s="26"/>
      <c r="BC43" s="26"/>
      <c r="BD43" s="26"/>
      <c r="BE43" s="26"/>
      <c r="BF43" s="26"/>
      <c r="BG43" s="26"/>
      <c r="BH43" s="26"/>
      <c r="BI43" s="26"/>
      <c r="BJ43" s="26"/>
      <c r="BK43" s="26"/>
      <c r="BL43" s="26"/>
      <c r="BM43" s="26"/>
      <c r="BN43" s="26"/>
      <c r="BO43" s="26"/>
      <c r="BP43" s="26"/>
      <c r="BQ43" s="56"/>
      <c r="BR43" s="56"/>
      <c r="BS43" s="56"/>
      <c r="BT43" s="56"/>
      <c r="BU43" s="56"/>
      <c r="BV43" s="56"/>
      <c r="BW43" s="56"/>
      <c r="BX43" s="56"/>
      <c r="BY43" s="56"/>
      <c r="BZ43" s="56"/>
      <c r="CA43" s="56"/>
      <c r="CB43" s="56"/>
      <c r="CC43" s="56"/>
      <c r="CD43" s="56"/>
      <c r="CE43" s="56"/>
      <c r="CF43" s="56"/>
      <c r="CG43" s="56"/>
      <c r="CH43"/>
      <c r="CI43"/>
      <c r="CJ43"/>
      <c r="CK43"/>
      <c r="CL43"/>
      <c r="CM43"/>
      <c r="CN43"/>
      <c r="CO43"/>
      <c r="CP43"/>
      <c r="CQ43"/>
      <c r="CR43"/>
      <c r="CS43"/>
      <c r="CT43"/>
      <c r="CU43"/>
      <c r="CV43"/>
      <c r="CW43"/>
      <c r="CX43"/>
      <c r="CY43"/>
      <c r="CZ43"/>
      <c r="DA43"/>
      <c r="DB43"/>
      <c r="DC43"/>
      <c r="DD43"/>
      <c r="DE43"/>
      <c r="DF43"/>
      <c r="DG43"/>
      <c r="DH43"/>
      <c r="DI43"/>
      <c r="DJ43"/>
      <c r="DK43"/>
      <c r="DL43"/>
      <c r="DM43"/>
      <c r="DN43"/>
      <c r="DO43"/>
      <c r="DP43"/>
      <c r="DQ43"/>
    </row>
    <row r="44" spans="1:121" s="3" customFormat="1" ht="30" customHeight="1" thickBot="1" x14ac:dyDescent="0.3">
      <c r="A44" s="31"/>
      <c r="B44" s="42" t="s">
        <v>65</v>
      </c>
      <c r="C44" s="38"/>
      <c r="D44" s="18">
        <v>0</v>
      </c>
      <c r="E44" s="54">
        <v>45937</v>
      </c>
      <c r="F44" s="54">
        <v>45954</v>
      </c>
      <c r="G44" s="72"/>
      <c r="H44" s="14"/>
      <c r="I44" s="26"/>
      <c r="J44" s="26"/>
      <c r="K44" s="26"/>
      <c r="L44" s="26"/>
      <c r="M44" s="26"/>
      <c r="N44" s="26"/>
      <c r="O44" s="26"/>
      <c r="P44" s="26"/>
      <c r="Q44" s="26"/>
      <c r="R44" s="26"/>
      <c r="S44" s="26"/>
      <c r="T44" s="26"/>
      <c r="U44" s="26"/>
      <c r="V44" s="26"/>
      <c r="W44" s="26"/>
      <c r="X44" s="26"/>
      <c r="Y44" s="26"/>
      <c r="Z44" s="26"/>
      <c r="AA44" s="26"/>
      <c r="AB44" s="26"/>
      <c r="AC44" s="77"/>
      <c r="AD44" s="77"/>
      <c r="AE44" s="26"/>
      <c r="AF44" s="26"/>
      <c r="AG44" s="26"/>
      <c r="AH44" s="26"/>
      <c r="AI44" s="26"/>
      <c r="AJ44" s="26"/>
      <c r="AK44" s="26"/>
      <c r="AL44" s="26"/>
      <c r="AM44" s="26"/>
      <c r="AN44" s="26"/>
      <c r="AO44" s="26"/>
      <c r="AP44" s="26"/>
      <c r="AQ44" s="26"/>
      <c r="AR44" s="26"/>
      <c r="AS44" s="26"/>
      <c r="AT44" s="26"/>
      <c r="AU44" s="26"/>
      <c r="AV44" s="26"/>
      <c r="AW44" s="26"/>
      <c r="AX44" s="26"/>
      <c r="AY44" s="26"/>
      <c r="AZ44" s="26"/>
      <c r="BA44" s="26"/>
      <c r="BB44" s="26"/>
      <c r="BC44" s="26"/>
      <c r="BD44" s="26"/>
      <c r="BE44" s="26"/>
      <c r="BF44" s="26"/>
      <c r="BG44" s="26"/>
      <c r="BH44" s="26"/>
      <c r="BI44" s="26"/>
      <c r="BJ44" s="26"/>
      <c r="BK44" s="26"/>
      <c r="BL44" s="26"/>
      <c r="BM44" s="26"/>
      <c r="BN44" s="26"/>
      <c r="BO44" s="26"/>
      <c r="BP44" s="26"/>
      <c r="BQ44" s="56"/>
      <c r="BR44" s="56"/>
      <c r="BS44" s="56"/>
      <c r="BT44" s="56"/>
      <c r="BU44" s="56"/>
      <c r="BV44" s="56"/>
      <c r="BW44" s="56"/>
      <c r="BX44" s="56"/>
      <c r="BY44" s="56"/>
      <c r="BZ44" s="56"/>
      <c r="CA44" s="56"/>
      <c r="CB44" s="56"/>
      <c r="CC44" s="56"/>
      <c r="CD44" s="56"/>
      <c r="CE44" s="56"/>
      <c r="CF44" s="56"/>
      <c r="CG44" s="56"/>
      <c r="CH44"/>
      <c r="CI44"/>
      <c r="CJ44"/>
      <c r="CK44"/>
      <c r="CL44"/>
      <c r="CM44"/>
      <c r="CN44"/>
      <c r="CO44"/>
      <c r="CP44"/>
      <c r="CQ44"/>
      <c r="CR44"/>
      <c r="CS44"/>
      <c r="CT44"/>
      <c r="CU44"/>
      <c r="CV44"/>
      <c r="CW44"/>
      <c r="CX44"/>
      <c r="CY44"/>
      <c r="CZ44"/>
      <c r="DA44"/>
      <c r="DB44"/>
      <c r="DC44"/>
      <c r="DD44"/>
      <c r="DE44"/>
      <c r="DF44"/>
      <c r="DG44"/>
      <c r="DH44"/>
      <c r="DI44"/>
      <c r="DJ44"/>
      <c r="DK44"/>
      <c r="DL44"/>
      <c r="DM44"/>
      <c r="DN44"/>
      <c r="DO44"/>
      <c r="DP44"/>
      <c r="DQ44"/>
    </row>
    <row r="45" spans="1:121" s="3" customFormat="1" ht="30" customHeight="1" thickBot="1" x14ac:dyDescent="0.3">
      <c r="A45" s="30"/>
      <c r="B45" s="42" t="s">
        <v>66</v>
      </c>
      <c r="C45" s="38"/>
      <c r="D45" s="18">
        <v>0</v>
      </c>
      <c r="E45" s="54">
        <v>45954</v>
      </c>
      <c r="F45" s="54">
        <v>45958</v>
      </c>
      <c r="G45" s="72"/>
      <c r="H45" s="14">
        <f t="shared" si="17"/>
        <v>5</v>
      </c>
      <c r="I45" s="26"/>
      <c r="J45" s="26"/>
      <c r="K45" s="26"/>
      <c r="L45" s="26"/>
      <c r="M45" s="26"/>
      <c r="N45" s="26"/>
      <c r="O45" s="26"/>
      <c r="P45" s="26"/>
      <c r="Q45" s="26"/>
      <c r="R45" s="26"/>
      <c r="S45" s="26"/>
      <c r="T45" s="26"/>
      <c r="U45" s="27"/>
      <c r="V45" s="27"/>
      <c r="W45" s="26"/>
      <c r="X45" s="26"/>
      <c r="Y45" s="26"/>
      <c r="Z45" s="26"/>
      <c r="AA45" s="26"/>
      <c r="AB45" s="26"/>
      <c r="AC45" s="77"/>
      <c r="AD45" s="77"/>
      <c r="AE45" s="26"/>
      <c r="AF45" s="26"/>
      <c r="AG45" s="26"/>
      <c r="AH45" s="26"/>
      <c r="AI45" s="26"/>
      <c r="AJ45" s="26"/>
      <c r="AK45" s="26"/>
      <c r="AL45" s="26"/>
      <c r="AM45" s="26"/>
      <c r="AN45" s="26"/>
      <c r="AO45" s="26"/>
      <c r="AP45" s="26"/>
      <c r="AQ45" s="26"/>
      <c r="AR45" s="26"/>
      <c r="AS45" s="26"/>
      <c r="AT45" s="26"/>
      <c r="AU45" s="26"/>
      <c r="AV45" s="26"/>
      <c r="AW45" s="26"/>
      <c r="AX45" s="26"/>
      <c r="AY45" s="26"/>
      <c r="AZ45" s="26"/>
      <c r="BA45" s="26"/>
      <c r="BB45" s="26"/>
      <c r="BC45" s="26"/>
      <c r="BD45" s="26"/>
      <c r="BE45" s="26"/>
      <c r="BF45" s="26"/>
      <c r="BG45" s="26"/>
      <c r="BH45" s="26"/>
      <c r="BI45" s="26"/>
      <c r="BJ45" s="26"/>
      <c r="BK45" s="26"/>
      <c r="BL45" s="26"/>
      <c r="BM45" s="26"/>
      <c r="BN45" s="26"/>
      <c r="BO45" s="26"/>
      <c r="BP45" s="26"/>
      <c r="BQ45" s="56"/>
      <c r="BR45" s="56"/>
      <c r="BS45" s="56"/>
      <c r="BT45" s="56"/>
      <c r="BU45" s="56"/>
      <c r="BV45" s="56"/>
      <c r="BW45" s="56"/>
      <c r="BX45" s="56"/>
      <c r="BY45" s="57"/>
      <c r="BZ45" s="57"/>
      <c r="CA45" s="56"/>
      <c r="CB45" s="56"/>
      <c r="CC45" s="56"/>
      <c r="CD45" s="56"/>
      <c r="CE45" s="56"/>
      <c r="CF45" s="56"/>
      <c r="CG45" s="56"/>
      <c r="CH45"/>
      <c r="CI45"/>
      <c r="CJ45"/>
      <c r="CK45"/>
      <c r="CL45"/>
      <c r="CM45"/>
      <c r="CN45"/>
      <c r="CO45"/>
      <c r="CP45"/>
      <c r="CQ45"/>
      <c r="CR45"/>
      <c r="CS45"/>
      <c r="CT45"/>
      <c r="CU45"/>
      <c r="CV45"/>
      <c r="CW45"/>
      <c r="CX45"/>
      <c r="CY45"/>
      <c r="CZ45"/>
      <c r="DA45"/>
      <c r="DB45"/>
      <c r="DC45"/>
      <c r="DD45"/>
      <c r="DE45"/>
      <c r="DF45"/>
      <c r="DG45"/>
      <c r="DH45"/>
      <c r="DI45"/>
      <c r="DJ45"/>
      <c r="DK45"/>
      <c r="DL45"/>
      <c r="DM45"/>
      <c r="DN45"/>
      <c r="DO45"/>
      <c r="DP45"/>
      <c r="DQ45"/>
    </row>
    <row r="46" spans="1:121" s="3" customFormat="1" ht="30" customHeight="1" thickBot="1" x14ac:dyDescent="0.3">
      <c r="A46" s="30"/>
      <c r="B46" s="42" t="s">
        <v>67</v>
      </c>
      <c r="C46" s="38"/>
      <c r="D46" s="18">
        <v>0</v>
      </c>
      <c r="E46" s="54">
        <v>45957</v>
      </c>
      <c r="F46" s="54">
        <v>45960</v>
      </c>
      <c r="G46" s="72"/>
      <c r="H46" s="14"/>
      <c r="I46" s="26"/>
      <c r="J46" s="26"/>
      <c r="K46" s="26"/>
      <c r="L46" s="26"/>
      <c r="M46" s="26"/>
      <c r="N46" s="26"/>
      <c r="O46" s="26"/>
      <c r="P46" s="26"/>
      <c r="Q46" s="26"/>
      <c r="R46" s="26"/>
      <c r="S46" s="26"/>
      <c r="T46" s="26"/>
      <c r="U46" s="27"/>
      <c r="V46" s="27"/>
      <c r="W46" s="26"/>
      <c r="X46" s="26"/>
      <c r="Y46" s="26"/>
      <c r="Z46" s="26"/>
      <c r="AA46" s="26"/>
      <c r="AB46" s="26"/>
      <c r="AC46" s="77"/>
      <c r="AD46" s="77"/>
      <c r="AE46" s="26"/>
      <c r="AF46" s="26"/>
      <c r="AG46" s="26"/>
      <c r="AH46" s="26"/>
      <c r="AI46" s="26"/>
      <c r="AJ46" s="26"/>
      <c r="AK46" s="26"/>
      <c r="AL46" s="26"/>
      <c r="AM46" s="26"/>
      <c r="AN46" s="26"/>
      <c r="AO46" s="26"/>
      <c r="AP46" s="26"/>
      <c r="AQ46" s="26"/>
      <c r="AR46" s="26"/>
      <c r="AS46" s="26"/>
      <c r="AT46" s="26"/>
      <c r="AU46" s="26"/>
      <c r="AV46" s="26"/>
      <c r="AW46" s="26"/>
      <c r="AX46" s="26"/>
      <c r="AY46" s="26"/>
      <c r="AZ46" s="26"/>
      <c r="BA46" s="26"/>
      <c r="BB46" s="26"/>
      <c r="BC46" s="26"/>
      <c r="BD46" s="26"/>
      <c r="BE46" s="26"/>
      <c r="BF46" s="26"/>
      <c r="BG46" s="26"/>
      <c r="BH46" s="26"/>
      <c r="BI46" s="26"/>
      <c r="BJ46" s="26"/>
      <c r="BK46" s="26"/>
      <c r="BL46" s="26"/>
      <c r="BM46" s="26"/>
      <c r="BN46" s="26"/>
      <c r="BO46" s="26"/>
      <c r="BP46" s="26"/>
      <c r="BQ46" s="56"/>
      <c r="BR46" s="56"/>
      <c r="BS46" s="56"/>
      <c r="BT46" s="56"/>
      <c r="BU46" s="56"/>
      <c r="BV46" s="56"/>
      <c r="BW46" s="56"/>
      <c r="BX46" s="56"/>
      <c r="BY46" s="57"/>
      <c r="BZ46" s="57"/>
      <c r="CA46" s="56"/>
      <c r="CB46" s="56"/>
      <c r="CC46" s="56"/>
      <c r="CD46" s="56"/>
      <c r="CE46" s="56"/>
      <c r="CF46" s="56"/>
      <c r="CG46" s="56"/>
      <c r="CH46"/>
      <c r="CI46"/>
      <c r="CJ46"/>
      <c r="CK46"/>
      <c r="CL46"/>
      <c r="CM46"/>
      <c r="CN46"/>
      <c r="CO46"/>
      <c r="CP46"/>
      <c r="CQ46"/>
      <c r="CR46"/>
      <c r="CS46"/>
      <c r="CT46"/>
      <c r="CU46"/>
      <c r="CV46"/>
      <c r="CW46"/>
      <c r="CX46"/>
      <c r="CY46"/>
      <c r="CZ46"/>
      <c r="DA46"/>
      <c r="DB46"/>
      <c r="DC46"/>
      <c r="DD46"/>
      <c r="DE46"/>
      <c r="DF46"/>
      <c r="DG46"/>
      <c r="DH46"/>
      <c r="DI46"/>
      <c r="DJ46"/>
      <c r="DK46"/>
      <c r="DL46"/>
      <c r="DM46"/>
      <c r="DN46"/>
      <c r="DO46"/>
      <c r="DP46"/>
      <c r="DQ46"/>
    </row>
    <row r="47" spans="1:121" s="83" customFormat="1" ht="30" customHeight="1" thickBot="1" x14ac:dyDescent="0.3">
      <c r="A47" s="100"/>
      <c r="B47" s="62" t="s">
        <v>32</v>
      </c>
      <c r="C47" s="42"/>
      <c r="D47" s="18"/>
      <c r="E47" s="54"/>
      <c r="F47" s="54"/>
      <c r="G47" s="72"/>
      <c r="H47" s="72" t="str">
        <f t="shared" si="17"/>
        <v/>
      </c>
      <c r="I47" s="81"/>
      <c r="J47" s="81"/>
      <c r="K47" s="81"/>
      <c r="L47" s="81"/>
      <c r="M47" s="81"/>
      <c r="N47" s="81"/>
      <c r="O47" s="81"/>
      <c r="P47" s="81"/>
      <c r="Q47" s="81"/>
      <c r="R47" s="81"/>
      <c r="S47" s="81"/>
      <c r="T47" s="81"/>
      <c r="U47" s="81"/>
      <c r="V47" s="81"/>
      <c r="W47" s="81"/>
      <c r="X47" s="81"/>
      <c r="Y47" s="81"/>
      <c r="Z47" s="81"/>
      <c r="AA47" s="81"/>
      <c r="AB47" s="81"/>
      <c r="AC47" s="81"/>
      <c r="AD47" s="81"/>
      <c r="AE47" s="81"/>
      <c r="AF47" s="81"/>
      <c r="AG47" s="81"/>
      <c r="AH47" s="81"/>
      <c r="AI47" s="81"/>
      <c r="AJ47" s="81"/>
      <c r="AK47" s="81"/>
      <c r="AL47" s="81"/>
      <c r="AM47" s="81"/>
      <c r="AN47" s="81"/>
      <c r="AO47" s="81"/>
      <c r="AP47" s="81"/>
      <c r="AQ47" s="81"/>
      <c r="AR47" s="81"/>
      <c r="AS47" s="81"/>
      <c r="AT47" s="81"/>
      <c r="AU47" s="81"/>
      <c r="AV47" s="81"/>
      <c r="AW47" s="81"/>
      <c r="AX47" s="81"/>
      <c r="AY47" s="81"/>
      <c r="AZ47" s="81"/>
      <c r="BA47" s="81"/>
      <c r="BB47" s="81"/>
      <c r="BC47" s="81"/>
      <c r="BD47" s="81"/>
      <c r="BE47" s="81"/>
      <c r="BF47" s="81"/>
      <c r="BG47" s="81"/>
      <c r="BH47" s="81"/>
      <c r="BI47" s="81"/>
      <c r="BJ47" s="81"/>
      <c r="BK47" s="81"/>
      <c r="BL47" s="81"/>
      <c r="BM47" s="81"/>
      <c r="BN47" s="81"/>
      <c r="BO47" s="81"/>
      <c r="BP47" s="81"/>
      <c r="BQ47" s="81"/>
      <c r="BR47" s="81"/>
      <c r="BS47" s="81"/>
      <c r="BT47" s="81"/>
      <c r="BU47" s="81"/>
      <c r="BV47" s="81"/>
      <c r="BW47" s="81"/>
      <c r="BX47" s="81"/>
      <c r="BY47" s="81"/>
      <c r="BZ47" s="81"/>
      <c r="CA47" s="81"/>
      <c r="CB47" s="81"/>
      <c r="CC47" s="81"/>
      <c r="CD47" s="81"/>
      <c r="CE47" s="81"/>
      <c r="CF47" s="81"/>
      <c r="CG47" s="81"/>
      <c r="CH47" s="82"/>
      <c r="CI47" s="82"/>
      <c r="CJ47" s="82"/>
      <c r="CK47" s="82"/>
      <c r="CL47" s="82"/>
      <c r="CM47" s="82"/>
      <c r="CN47" s="82"/>
      <c r="CO47" s="82"/>
      <c r="CP47" s="82"/>
      <c r="CQ47" s="82"/>
      <c r="CR47" s="82"/>
      <c r="CS47" s="82"/>
      <c r="CT47" s="82"/>
      <c r="CU47" s="82"/>
      <c r="CV47" s="82"/>
      <c r="CW47" s="82"/>
      <c r="CX47" s="82"/>
      <c r="CY47" s="82"/>
      <c r="CZ47" s="82"/>
      <c r="DA47" s="82"/>
      <c r="DB47" s="82"/>
      <c r="DC47" s="82"/>
      <c r="DD47" s="82"/>
      <c r="DE47" s="82"/>
      <c r="DF47" s="82"/>
      <c r="DG47" s="82"/>
      <c r="DH47" s="82"/>
      <c r="DI47" s="82"/>
      <c r="DJ47" s="82"/>
      <c r="DK47" s="82"/>
      <c r="DL47" s="82"/>
      <c r="DM47" s="82"/>
      <c r="DN47" s="82"/>
      <c r="DO47" s="82"/>
      <c r="DP47" s="82"/>
      <c r="DQ47" s="82"/>
    </row>
    <row r="48" spans="1:121" s="3" customFormat="1" ht="30" customHeight="1" thickBot="1" x14ac:dyDescent="0.3">
      <c r="A48" s="30"/>
      <c r="B48" s="75" t="s">
        <v>40</v>
      </c>
      <c r="C48" s="38"/>
      <c r="D48" s="18">
        <v>0</v>
      </c>
      <c r="E48" s="54">
        <v>45959</v>
      </c>
      <c r="F48" s="54">
        <v>45959</v>
      </c>
      <c r="G48" s="72"/>
      <c r="H48" s="14">
        <f t="shared" si="17"/>
        <v>1</v>
      </c>
      <c r="I48" s="26"/>
      <c r="J48" s="26"/>
      <c r="K48" s="26"/>
      <c r="L48" s="26"/>
      <c r="M48" s="26"/>
      <c r="N48" s="26"/>
      <c r="O48" s="26"/>
      <c r="P48" s="26"/>
      <c r="Q48" s="26"/>
      <c r="R48" s="26"/>
      <c r="S48" s="26"/>
      <c r="T48" s="26"/>
      <c r="U48" s="26"/>
      <c r="V48" s="26"/>
      <c r="W48" s="26"/>
      <c r="X48" s="26"/>
      <c r="Y48" s="27"/>
      <c r="Z48" s="26"/>
      <c r="AA48" s="26"/>
      <c r="AB48" s="26"/>
      <c r="AC48" s="77"/>
      <c r="AD48" s="77"/>
      <c r="AE48" s="26"/>
      <c r="AF48" s="26"/>
      <c r="AG48" s="26"/>
      <c r="AH48" s="26"/>
      <c r="AI48" s="26"/>
      <c r="AJ48" s="26"/>
      <c r="AK48" s="26"/>
      <c r="AL48" s="26"/>
      <c r="AM48" s="26"/>
      <c r="AN48" s="26"/>
      <c r="AO48" s="26"/>
      <c r="AP48" s="26"/>
      <c r="AQ48" s="26"/>
      <c r="AR48" s="26"/>
      <c r="AS48" s="26"/>
      <c r="AT48" s="26"/>
      <c r="AU48" s="26"/>
      <c r="AV48" s="26"/>
      <c r="AW48" s="26"/>
      <c r="AX48" s="26"/>
      <c r="AY48" s="26"/>
      <c r="AZ48" s="26"/>
      <c r="BA48" s="26"/>
      <c r="BB48" s="26"/>
      <c r="BC48" s="26"/>
      <c r="BD48" s="26"/>
      <c r="BE48" s="26"/>
      <c r="BF48" s="26"/>
      <c r="BG48" s="26"/>
      <c r="BH48" s="26"/>
      <c r="BI48" s="26"/>
      <c r="BJ48" s="26"/>
      <c r="BK48" s="26"/>
      <c r="BL48" s="26"/>
      <c r="BM48" s="26"/>
      <c r="BN48" s="26"/>
      <c r="BO48" s="26"/>
      <c r="BP48" s="26"/>
      <c r="BQ48" s="56"/>
      <c r="BR48" s="56"/>
      <c r="BS48" s="56"/>
      <c r="BT48" s="56"/>
      <c r="BU48" s="56"/>
      <c r="BV48" s="56"/>
      <c r="BW48" s="56"/>
      <c r="BX48" s="56"/>
      <c r="BY48" s="56"/>
      <c r="BZ48" s="56"/>
      <c r="CA48" s="56"/>
      <c r="CB48" s="56"/>
      <c r="CC48" s="57"/>
      <c r="CD48" s="56"/>
      <c r="CE48" s="56"/>
      <c r="CF48" s="56"/>
      <c r="CG48" s="56"/>
      <c r="CH48"/>
      <c r="CI48"/>
      <c r="CJ48"/>
      <c r="CK48"/>
      <c r="CL48"/>
      <c r="CM48"/>
      <c r="CN48"/>
      <c r="CO48"/>
      <c r="CP48"/>
      <c r="CQ48"/>
      <c r="CR48"/>
      <c r="CS48"/>
      <c r="CT48"/>
      <c r="CU48"/>
      <c r="CV48"/>
      <c r="CW48"/>
      <c r="CX48"/>
      <c r="CY48"/>
      <c r="CZ48"/>
      <c r="DA48"/>
      <c r="DB48"/>
      <c r="DC48"/>
      <c r="DD48"/>
      <c r="DE48"/>
      <c r="DF48"/>
      <c r="DG48"/>
      <c r="DH48"/>
      <c r="DI48"/>
      <c r="DJ48"/>
      <c r="DK48"/>
      <c r="DL48"/>
      <c r="DM48"/>
      <c r="DN48"/>
      <c r="DO48"/>
      <c r="DP48"/>
      <c r="DQ48"/>
    </row>
    <row r="49" spans="1:121" s="3" customFormat="1" ht="30" customHeight="1" thickBot="1" x14ac:dyDescent="0.3">
      <c r="A49" s="30"/>
      <c r="B49" s="42" t="s">
        <v>41</v>
      </c>
      <c r="C49" s="38"/>
      <c r="D49" s="18">
        <v>0</v>
      </c>
      <c r="E49" s="54">
        <v>45959</v>
      </c>
      <c r="F49" s="54">
        <v>45959</v>
      </c>
      <c r="G49" s="72"/>
      <c r="H49" s="14">
        <f t="shared" si="17"/>
        <v>1</v>
      </c>
      <c r="I49" s="26"/>
      <c r="J49" s="26"/>
      <c r="K49" s="26"/>
      <c r="L49" s="26"/>
      <c r="M49" s="26"/>
      <c r="N49" s="26"/>
      <c r="O49" s="26"/>
      <c r="P49" s="26"/>
      <c r="Q49" s="26"/>
      <c r="R49" s="26"/>
      <c r="S49" s="26"/>
      <c r="T49" s="26"/>
      <c r="U49" s="26"/>
      <c r="V49" s="26"/>
      <c r="W49" s="26"/>
      <c r="X49" s="26"/>
      <c r="Y49" s="26"/>
      <c r="Z49" s="26"/>
      <c r="AA49" s="26"/>
      <c r="AB49" s="26"/>
      <c r="AC49" s="77"/>
      <c r="AD49" s="77"/>
      <c r="AE49" s="26"/>
      <c r="AF49" s="26"/>
      <c r="AG49" s="26"/>
      <c r="AH49" s="26"/>
      <c r="AI49" s="26"/>
      <c r="AJ49" s="26"/>
      <c r="AK49" s="26"/>
      <c r="AL49" s="26"/>
      <c r="AM49" s="26"/>
      <c r="AN49" s="26"/>
      <c r="AO49" s="26"/>
      <c r="AP49" s="26"/>
      <c r="AQ49" s="26"/>
      <c r="AR49" s="26"/>
      <c r="AS49" s="26"/>
      <c r="AT49" s="26"/>
      <c r="AU49" s="26"/>
      <c r="AV49" s="26"/>
      <c r="AW49" s="26"/>
      <c r="AX49" s="26"/>
      <c r="AY49" s="26"/>
      <c r="AZ49" s="26"/>
      <c r="BA49" s="26"/>
      <c r="BB49" s="26"/>
      <c r="BC49" s="26"/>
      <c r="BD49" s="26"/>
      <c r="BE49" s="26"/>
      <c r="BF49" s="26"/>
      <c r="BG49" s="26"/>
      <c r="BH49" s="26"/>
      <c r="BI49" s="26"/>
      <c r="BJ49" s="26"/>
      <c r="BK49" s="26"/>
      <c r="BL49" s="26"/>
      <c r="BM49" s="26"/>
      <c r="BN49" s="26"/>
      <c r="BO49" s="26"/>
      <c r="BP49" s="26"/>
      <c r="BQ49" s="56"/>
      <c r="BR49" s="56"/>
      <c r="BS49" s="56"/>
      <c r="BT49" s="56"/>
      <c r="BU49" s="56"/>
      <c r="BV49" s="56"/>
      <c r="BW49" s="56"/>
      <c r="BX49" s="56"/>
      <c r="BY49" s="56"/>
      <c r="BZ49" s="56"/>
      <c r="CA49" s="56"/>
      <c r="CB49" s="56"/>
      <c r="CC49" s="56"/>
      <c r="CD49" s="56"/>
      <c r="CE49" s="56"/>
      <c r="CF49" s="56"/>
      <c r="CG49" s="56"/>
      <c r="CH49"/>
      <c r="CI49"/>
      <c r="CJ49"/>
      <c r="CK49"/>
      <c r="CL49"/>
      <c r="CM49"/>
      <c r="CN49"/>
      <c r="CO49"/>
      <c r="CP49"/>
      <c r="CQ49"/>
      <c r="CR49"/>
      <c r="CS49"/>
      <c r="CT49"/>
      <c r="CU49"/>
      <c r="CV49"/>
      <c r="CW49"/>
      <c r="CX49"/>
      <c r="CY49"/>
      <c r="CZ49"/>
      <c r="DA49"/>
      <c r="DB49"/>
      <c r="DC49"/>
      <c r="DD49"/>
      <c r="DE49"/>
      <c r="DF49"/>
      <c r="DG49"/>
      <c r="DH49"/>
      <c r="DI49"/>
      <c r="DJ49"/>
      <c r="DK49"/>
      <c r="DL49"/>
      <c r="DM49"/>
      <c r="DN49"/>
      <c r="DO49"/>
      <c r="DP49"/>
      <c r="DQ49"/>
    </row>
    <row r="50" spans="1:121" s="3" customFormat="1" ht="30" customHeight="1" thickBot="1" x14ac:dyDescent="0.3">
      <c r="A50" s="30"/>
      <c r="B50" s="42" t="s">
        <v>57</v>
      </c>
      <c r="C50" s="38"/>
      <c r="D50" s="18">
        <v>0</v>
      </c>
      <c r="E50" s="54">
        <v>45959</v>
      </c>
      <c r="F50" s="54">
        <v>45959</v>
      </c>
      <c r="G50" s="72"/>
      <c r="H50" s="14"/>
      <c r="I50" s="26"/>
      <c r="J50" s="26"/>
      <c r="K50" s="26"/>
      <c r="L50" s="26"/>
      <c r="M50" s="26"/>
      <c r="N50" s="26"/>
      <c r="O50" s="26"/>
      <c r="P50" s="26"/>
      <c r="Q50" s="26"/>
      <c r="R50" s="26"/>
      <c r="S50" s="26"/>
      <c r="T50" s="26"/>
      <c r="U50" s="26"/>
      <c r="V50" s="26"/>
      <c r="W50" s="26"/>
      <c r="X50" s="26"/>
      <c r="Y50" s="26"/>
      <c r="Z50" s="26"/>
      <c r="AA50" s="26"/>
      <c r="AB50" s="26"/>
      <c r="AC50" s="77"/>
      <c r="AD50" s="77"/>
      <c r="AE50" s="26"/>
      <c r="AF50" s="26"/>
      <c r="AG50" s="26"/>
      <c r="AH50" s="26"/>
      <c r="AI50" s="26"/>
      <c r="AJ50" s="26"/>
      <c r="AK50" s="26"/>
      <c r="AL50" s="26"/>
      <c r="AM50" s="26"/>
      <c r="AN50" s="26"/>
      <c r="AO50" s="26"/>
      <c r="AP50" s="26"/>
      <c r="AQ50" s="26"/>
      <c r="AR50" s="26"/>
      <c r="AS50" s="26"/>
      <c r="AT50" s="26"/>
      <c r="AU50" s="26"/>
      <c r="AV50" s="26"/>
      <c r="AW50" s="26"/>
      <c r="AX50" s="26"/>
      <c r="AY50" s="26"/>
      <c r="AZ50" s="26"/>
      <c r="BA50" s="26"/>
      <c r="BB50" s="26"/>
      <c r="BC50" s="26"/>
      <c r="BD50" s="26"/>
      <c r="BE50" s="26"/>
      <c r="BF50" s="26"/>
      <c r="BG50" s="26"/>
      <c r="BH50" s="26"/>
      <c r="BI50" s="26"/>
      <c r="BJ50" s="26"/>
      <c r="BK50" s="26"/>
      <c r="BL50" s="26"/>
      <c r="BM50" s="26"/>
      <c r="BN50" s="26"/>
      <c r="BO50" s="26"/>
      <c r="BP50" s="26"/>
      <c r="BQ50" s="56"/>
      <c r="BR50" s="56"/>
      <c r="BS50" s="56"/>
      <c r="BT50" s="56"/>
      <c r="BU50" s="56"/>
      <c r="BV50" s="56"/>
      <c r="BW50" s="56"/>
      <c r="BX50" s="56"/>
      <c r="BY50" s="56"/>
      <c r="BZ50" s="56"/>
      <c r="CA50" s="56"/>
      <c r="CB50" s="56"/>
      <c r="CC50" s="56"/>
      <c r="CD50" s="56"/>
      <c r="CE50" s="56"/>
      <c r="CF50" s="56"/>
      <c r="CG50" s="56"/>
      <c r="CH50"/>
      <c r="CI50"/>
      <c r="CJ50"/>
      <c r="CK50"/>
      <c r="CL50"/>
      <c r="CM50"/>
      <c r="CN50"/>
      <c r="CO50"/>
      <c r="CP50"/>
      <c r="CQ50"/>
      <c r="CR50"/>
      <c r="CS50"/>
      <c r="CT50"/>
      <c r="CU50"/>
      <c r="CV50"/>
      <c r="CW50"/>
      <c r="CX50"/>
      <c r="CY50"/>
      <c r="CZ50"/>
      <c r="DA50"/>
      <c r="DB50"/>
      <c r="DC50"/>
      <c r="DD50"/>
      <c r="DE50"/>
      <c r="DF50"/>
      <c r="DG50"/>
      <c r="DH50"/>
      <c r="DI50"/>
      <c r="DJ50"/>
      <c r="DK50"/>
      <c r="DL50"/>
      <c r="DM50"/>
      <c r="DN50"/>
      <c r="DO50"/>
      <c r="DP50"/>
      <c r="DQ50"/>
    </row>
    <row r="51" spans="1:121" s="83" customFormat="1" ht="30" customHeight="1" thickBot="1" x14ac:dyDescent="0.3">
      <c r="A51" s="100"/>
      <c r="B51" s="62" t="s">
        <v>34</v>
      </c>
      <c r="C51" s="38"/>
      <c r="D51" s="18"/>
      <c r="E51" s="54"/>
      <c r="F51" s="54"/>
      <c r="G51" s="72"/>
      <c r="H51" s="72"/>
      <c r="I51" s="81"/>
      <c r="J51" s="81"/>
      <c r="K51" s="81"/>
      <c r="L51" s="81"/>
      <c r="M51" s="81"/>
      <c r="N51" s="81"/>
      <c r="O51" s="81"/>
      <c r="P51" s="81"/>
      <c r="Q51" s="81"/>
      <c r="R51" s="81"/>
      <c r="S51" s="81"/>
      <c r="T51" s="81"/>
      <c r="U51" s="81"/>
      <c r="V51" s="81"/>
      <c r="W51" s="81"/>
      <c r="X51" s="81"/>
      <c r="Y51" s="81"/>
      <c r="Z51" s="81"/>
      <c r="AA51" s="81"/>
      <c r="AB51" s="81"/>
      <c r="AC51" s="81"/>
      <c r="AD51" s="81"/>
      <c r="AE51" s="81"/>
      <c r="AF51" s="81"/>
      <c r="AG51" s="81"/>
      <c r="AH51" s="81"/>
      <c r="AI51" s="81"/>
      <c r="AJ51" s="81"/>
      <c r="AK51" s="81"/>
      <c r="AL51" s="81"/>
      <c r="AM51" s="81"/>
      <c r="AN51" s="81"/>
      <c r="AO51" s="81"/>
      <c r="AP51" s="81"/>
      <c r="AQ51" s="81"/>
      <c r="AR51" s="81"/>
      <c r="AS51" s="81"/>
      <c r="AT51" s="81"/>
      <c r="AU51" s="81"/>
      <c r="AV51" s="81"/>
      <c r="AW51" s="81"/>
      <c r="AX51" s="81"/>
      <c r="AY51" s="81"/>
      <c r="AZ51" s="81"/>
      <c r="BA51" s="81"/>
      <c r="BB51" s="81"/>
      <c r="BC51" s="81"/>
      <c r="BD51" s="81"/>
      <c r="BE51" s="81"/>
      <c r="BF51" s="81"/>
      <c r="BG51" s="81"/>
      <c r="BH51" s="81"/>
      <c r="BI51" s="81"/>
      <c r="BJ51" s="81"/>
      <c r="BK51" s="81"/>
      <c r="BL51" s="81"/>
      <c r="BM51" s="81"/>
      <c r="BN51" s="81"/>
      <c r="BO51" s="81"/>
      <c r="BP51" s="81"/>
      <c r="BQ51" s="81"/>
      <c r="BR51" s="81"/>
      <c r="BS51" s="81"/>
      <c r="BT51" s="81"/>
      <c r="BU51" s="81"/>
      <c r="BV51" s="81"/>
      <c r="BW51" s="81"/>
      <c r="BX51" s="81"/>
      <c r="BY51" s="81"/>
      <c r="BZ51" s="81"/>
      <c r="CA51" s="81"/>
      <c r="CB51" s="81"/>
      <c r="CC51" s="81"/>
      <c r="CD51" s="81"/>
      <c r="CE51" s="81"/>
      <c r="CF51" s="81"/>
      <c r="CG51" s="81"/>
      <c r="CH51" s="82"/>
      <c r="CI51" s="82"/>
      <c r="CJ51" s="82"/>
      <c r="CK51" s="82"/>
      <c r="CL51" s="82"/>
      <c r="CM51" s="82"/>
      <c r="CN51" s="82"/>
      <c r="CO51" s="82"/>
      <c r="CP51" s="82"/>
      <c r="CQ51" s="82"/>
      <c r="CR51" s="82"/>
      <c r="CS51" s="82"/>
      <c r="CT51" s="82"/>
      <c r="CU51" s="82"/>
      <c r="CV51" s="82"/>
      <c r="CW51" s="82"/>
      <c r="CX51" s="82"/>
      <c r="CY51" s="82"/>
      <c r="CZ51" s="82"/>
      <c r="DA51" s="82"/>
      <c r="DB51" s="82"/>
      <c r="DC51" s="82"/>
      <c r="DD51" s="82"/>
      <c r="DE51" s="82"/>
      <c r="DF51" s="82"/>
      <c r="DG51" s="82"/>
      <c r="DH51" s="82"/>
      <c r="DI51" s="82"/>
      <c r="DJ51" s="82"/>
      <c r="DK51" s="82"/>
      <c r="DL51" s="82"/>
      <c r="DM51" s="82"/>
      <c r="DN51" s="82"/>
      <c r="DO51" s="82"/>
      <c r="DP51" s="82"/>
      <c r="DQ51" s="82"/>
    </row>
    <row r="52" spans="1:121" s="3" customFormat="1" ht="30" customHeight="1" thickBot="1" x14ac:dyDescent="0.3">
      <c r="A52" s="30"/>
      <c r="B52" s="42" t="s">
        <v>44</v>
      </c>
      <c r="C52" s="38"/>
      <c r="D52" s="18">
        <v>0</v>
      </c>
      <c r="E52" s="54">
        <v>45960</v>
      </c>
      <c r="F52" s="54">
        <v>45964</v>
      </c>
      <c r="G52" s="72"/>
      <c r="H52" s="14"/>
      <c r="I52" s="26"/>
      <c r="J52" s="26"/>
      <c r="K52" s="26"/>
      <c r="L52" s="26"/>
      <c r="M52" s="26"/>
      <c r="N52" s="26"/>
      <c r="O52" s="26"/>
      <c r="P52" s="26"/>
      <c r="Q52" s="26"/>
      <c r="R52" s="26"/>
      <c r="S52" s="26"/>
      <c r="T52" s="26"/>
      <c r="U52" s="26"/>
      <c r="V52" s="26"/>
      <c r="W52" s="26"/>
      <c r="X52" s="26"/>
      <c r="Y52" s="26"/>
      <c r="Z52" s="26"/>
      <c r="AA52" s="26"/>
      <c r="AB52" s="26"/>
      <c r="AC52" s="77"/>
      <c r="AD52" s="77"/>
      <c r="AE52" s="26"/>
      <c r="AF52" s="26"/>
      <c r="AG52" s="26"/>
      <c r="AH52" s="26"/>
      <c r="AI52" s="26"/>
      <c r="AJ52" s="26"/>
      <c r="AK52" s="26"/>
      <c r="AL52" s="26"/>
      <c r="AM52" s="26"/>
      <c r="AN52" s="26"/>
      <c r="AO52" s="26"/>
      <c r="AP52" s="26"/>
      <c r="AQ52" s="26"/>
      <c r="AR52" s="26"/>
      <c r="AS52" s="26"/>
      <c r="AT52" s="26"/>
      <c r="AU52" s="26"/>
      <c r="AV52" s="26"/>
      <c r="AW52" s="26"/>
      <c r="AX52" s="26"/>
      <c r="AY52" s="26"/>
      <c r="AZ52" s="26"/>
      <c r="BA52" s="26"/>
      <c r="BB52" s="26"/>
      <c r="BC52" s="26"/>
      <c r="BD52" s="26"/>
      <c r="BE52" s="26"/>
      <c r="BF52" s="26"/>
      <c r="BG52" s="26"/>
      <c r="BH52" s="26"/>
      <c r="BI52" s="26"/>
      <c r="BJ52" s="26"/>
      <c r="BK52" s="26"/>
      <c r="BL52" s="26"/>
      <c r="BM52" s="26"/>
      <c r="BN52" s="26"/>
      <c r="BO52" s="26"/>
      <c r="BP52" s="26"/>
      <c r="BQ52" s="56"/>
      <c r="BR52" s="56"/>
      <c r="BS52" s="56"/>
      <c r="BT52" s="56"/>
      <c r="BU52" s="56"/>
      <c r="BV52" s="56"/>
      <c r="BW52" s="56"/>
      <c r="BX52" s="56"/>
      <c r="BY52" s="56"/>
      <c r="BZ52" s="56"/>
      <c r="CA52" s="56"/>
      <c r="CB52" s="56"/>
      <c r="CC52" s="56"/>
      <c r="CD52" s="56"/>
      <c r="CE52" s="56"/>
      <c r="CF52" s="56"/>
      <c r="CG52" s="56"/>
      <c r="CH52"/>
      <c r="CI52"/>
      <c r="CJ52"/>
      <c r="CK52"/>
      <c r="CL52"/>
      <c r="CM52"/>
      <c r="CN52"/>
      <c r="CO52"/>
      <c r="CP52"/>
      <c r="CQ52"/>
      <c r="CR52"/>
      <c r="CS52"/>
      <c r="CT52"/>
      <c r="CU52"/>
      <c r="CV52"/>
      <c r="CW52"/>
      <c r="CX52"/>
      <c r="CY52"/>
      <c r="CZ52"/>
      <c r="DA52"/>
      <c r="DB52"/>
      <c r="DC52"/>
      <c r="DD52"/>
      <c r="DE52"/>
      <c r="DF52"/>
      <c r="DG52"/>
      <c r="DH52"/>
      <c r="DI52"/>
      <c r="DJ52"/>
      <c r="DK52"/>
      <c r="DL52"/>
      <c r="DM52"/>
      <c r="DN52"/>
      <c r="DO52"/>
      <c r="DP52"/>
      <c r="DQ52"/>
    </row>
    <row r="53" spans="1:121" s="3" customFormat="1" ht="30" customHeight="1" thickBot="1" x14ac:dyDescent="0.3">
      <c r="A53" s="30"/>
      <c r="B53" s="42" t="s">
        <v>46</v>
      </c>
      <c r="C53" s="38"/>
      <c r="D53" s="18">
        <v>0</v>
      </c>
      <c r="E53" s="54">
        <v>45965</v>
      </c>
      <c r="F53" s="54">
        <v>45967</v>
      </c>
      <c r="G53" s="72"/>
      <c r="H53" s="14"/>
      <c r="I53" s="26"/>
      <c r="J53" s="26"/>
      <c r="K53" s="26"/>
      <c r="L53" s="26"/>
      <c r="M53" s="26"/>
      <c r="N53" s="26"/>
      <c r="O53" s="26"/>
      <c r="P53" s="26"/>
      <c r="Q53" s="26"/>
      <c r="R53" s="26"/>
      <c r="S53" s="26"/>
      <c r="T53" s="26"/>
      <c r="U53" s="26"/>
      <c r="V53" s="26"/>
      <c r="W53" s="26"/>
      <c r="X53" s="26"/>
      <c r="Y53" s="26"/>
      <c r="Z53" s="26"/>
      <c r="AA53" s="26"/>
      <c r="AB53" s="26"/>
      <c r="AC53" s="77"/>
      <c r="AD53" s="77"/>
      <c r="AE53" s="26"/>
      <c r="AF53" s="26"/>
      <c r="AG53" s="26"/>
      <c r="AH53" s="26"/>
      <c r="AI53" s="26"/>
      <c r="AJ53" s="26"/>
      <c r="AK53" s="26"/>
      <c r="AL53" s="26"/>
      <c r="AM53" s="26"/>
      <c r="AN53" s="26"/>
      <c r="AO53" s="26"/>
      <c r="AP53" s="26"/>
      <c r="AQ53" s="26"/>
      <c r="AR53" s="26"/>
      <c r="AS53" s="26"/>
      <c r="AT53" s="26"/>
      <c r="AU53" s="26"/>
      <c r="AV53" s="26"/>
      <c r="AW53" s="26"/>
      <c r="AX53" s="26"/>
      <c r="AY53" s="26"/>
      <c r="AZ53" s="26"/>
      <c r="BA53" s="26"/>
      <c r="BB53" s="26"/>
      <c r="BC53" s="26"/>
      <c r="BD53" s="26"/>
      <c r="BE53" s="26"/>
      <c r="BF53" s="26"/>
      <c r="BG53" s="26"/>
      <c r="BH53" s="26"/>
      <c r="BI53" s="26"/>
      <c r="BJ53" s="26"/>
      <c r="BK53" s="26"/>
      <c r="BL53" s="26"/>
      <c r="BM53" s="26"/>
      <c r="BN53" s="26"/>
      <c r="BO53" s="26"/>
      <c r="BP53" s="26"/>
      <c r="BQ53" s="56"/>
      <c r="BR53" s="56"/>
      <c r="BS53" s="56"/>
      <c r="BT53" s="56"/>
      <c r="BU53" s="56"/>
      <c r="BV53" s="56"/>
      <c r="BW53" s="56"/>
      <c r="BX53" s="56"/>
      <c r="BY53" s="56"/>
      <c r="BZ53" s="56"/>
      <c r="CA53" s="56"/>
      <c r="CB53" s="56"/>
      <c r="CC53" s="56"/>
      <c r="CD53" s="56"/>
      <c r="CE53" s="56"/>
      <c r="CF53" s="56"/>
      <c r="CG53" s="56"/>
      <c r="CH53"/>
      <c r="CI53"/>
      <c r="CJ53"/>
      <c r="CK53"/>
      <c r="CL53"/>
      <c r="CM53"/>
      <c r="CN53"/>
      <c r="CO53"/>
      <c r="CP53"/>
      <c r="CQ53"/>
      <c r="CR53"/>
      <c r="CS53"/>
      <c r="CT53"/>
      <c r="CU53"/>
      <c r="CV53"/>
      <c r="CW53"/>
      <c r="CX53"/>
      <c r="CY53"/>
      <c r="CZ53"/>
      <c r="DA53"/>
      <c r="DB53"/>
      <c r="DC53"/>
      <c r="DD53"/>
      <c r="DE53"/>
      <c r="DF53"/>
      <c r="DG53"/>
      <c r="DH53"/>
      <c r="DI53"/>
      <c r="DJ53"/>
      <c r="DK53"/>
      <c r="DL53"/>
      <c r="DM53"/>
      <c r="DN53"/>
      <c r="DO53"/>
      <c r="DP53"/>
      <c r="DQ53"/>
    </row>
    <row r="54" spans="1:121" s="3" customFormat="1" ht="30" customHeight="1" thickBot="1" x14ac:dyDescent="0.3">
      <c r="A54" s="30"/>
      <c r="B54" s="42" t="s">
        <v>45</v>
      </c>
      <c r="C54" s="38"/>
      <c r="D54" s="18">
        <v>0</v>
      </c>
      <c r="E54" s="54">
        <v>45968</v>
      </c>
      <c r="F54" s="54">
        <v>45968</v>
      </c>
      <c r="G54" s="72"/>
      <c r="H54" s="14"/>
      <c r="I54" s="26"/>
      <c r="J54" s="26"/>
      <c r="K54" s="26"/>
      <c r="L54" s="26"/>
      <c r="M54" s="26"/>
      <c r="N54" s="26"/>
      <c r="O54" s="26"/>
      <c r="P54" s="26"/>
      <c r="Q54" s="26"/>
      <c r="R54" s="26"/>
      <c r="S54" s="26"/>
      <c r="T54" s="26"/>
      <c r="U54" s="26"/>
      <c r="V54" s="26"/>
      <c r="W54" s="26"/>
      <c r="X54" s="26"/>
      <c r="Y54" s="26"/>
      <c r="Z54" s="26"/>
      <c r="AA54" s="26"/>
      <c r="AB54" s="26"/>
      <c r="AC54" s="77"/>
      <c r="AD54" s="77"/>
      <c r="AE54" s="26"/>
      <c r="AF54" s="26"/>
      <c r="AG54" s="26"/>
      <c r="AH54" s="26"/>
      <c r="AI54" s="26"/>
      <c r="AJ54" s="26"/>
      <c r="AK54" s="26"/>
      <c r="AL54" s="26"/>
      <c r="AM54" s="26"/>
      <c r="AN54" s="26"/>
      <c r="AO54" s="26"/>
      <c r="AP54" s="26"/>
      <c r="AQ54" s="26"/>
      <c r="AR54" s="26"/>
      <c r="AS54" s="26"/>
      <c r="AT54" s="26"/>
      <c r="AU54" s="26"/>
      <c r="AV54" s="26"/>
      <c r="AW54" s="26"/>
      <c r="AX54" s="26"/>
      <c r="AY54" s="26"/>
      <c r="AZ54" s="26"/>
      <c r="BA54" s="26"/>
      <c r="BB54" s="26"/>
      <c r="BC54" s="26"/>
      <c r="BD54" s="26"/>
      <c r="BE54" s="26"/>
      <c r="BF54" s="26"/>
      <c r="BG54" s="26"/>
      <c r="BH54" s="26"/>
      <c r="BI54" s="26"/>
      <c r="BJ54" s="26"/>
      <c r="BK54" s="26"/>
      <c r="BL54" s="26"/>
      <c r="BM54" s="26"/>
      <c r="BN54" s="26"/>
      <c r="BO54" s="26"/>
      <c r="BP54" s="26"/>
      <c r="BQ54" s="56"/>
      <c r="BR54" s="56"/>
      <c r="BS54" s="56"/>
      <c r="BT54" s="56"/>
      <c r="BU54" s="56"/>
      <c r="BV54" s="56"/>
      <c r="BW54" s="56"/>
      <c r="BX54" s="56"/>
      <c r="BY54" s="56"/>
      <c r="BZ54" s="56"/>
      <c r="CA54" s="56"/>
      <c r="CB54" s="56"/>
      <c r="CC54" s="56"/>
      <c r="CD54" s="56"/>
      <c r="CE54" s="56"/>
      <c r="CF54" s="56"/>
      <c r="CG54" s="56"/>
      <c r="CH54"/>
      <c r="CI54"/>
      <c r="CJ54"/>
      <c r="CK54"/>
      <c r="CL54"/>
      <c r="CM54"/>
      <c r="CN54"/>
      <c r="CO54"/>
      <c r="CP54"/>
      <c r="CQ54"/>
      <c r="CR54"/>
      <c r="CS54"/>
      <c r="CT54"/>
      <c r="CU54"/>
      <c r="CV54"/>
      <c r="CW54"/>
      <c r="CX54"/>
      <c r="CY54"/>
      <c r="CZ54"/>
      <c r="DA54"/>
      <c r="DB54"/>
      <c r="DC54"/>
      <c r="DD54"/>
      <c r="DE54"/>
      <c r="DF54"/>
      <c r="DG54"/>
      <c r="DH54"/>
      <c r="DI54"/>
      <c r="DJ54"/>
      <c r="DK54"/>
      <c r="DL54"/>
      <c r="DM54"/>
      <c r="DN54"/>
      <c r="DO54"/>
      <c r="DP54"/>
      <c r="DQ54"/>
    </row>
    <row r="55" spans="1:121" s="3" customFormat="1" ht="30" customHeight="1" thickBot="1" x14ac:dyDescent="0.3">
      <c r="A55" s="30" t="s">
        <v>8</v>
      </c>
      <c r="B55" s="19" t="s">
        <v>33</v>
      </c>
      <c r="C55" s="39"/>
      <c r="D55" s="20"/>
      <c r="E55" s="47"/>
      <c r="F55" s="48"/>
      <c r="G55" s="73"/>
      <c r="H55" s="14" t="str">
        <f t="shared" si="17"/>
        <v/>
      </c>
      <c r="I55" s="131"/>
      <c r="J55" s="132"/>
      <c r="K55" s="132"/>
      <c r="L55" s="132"/>
      <c r="M55" s="132"/>
      <c r="N55" s="132"/>
      <c r="O55" s="132"/>
      <c r="P55" s="132"/>
      <c r="Q55" s="132"/>
      <c r="R55" s="132"/>
      <c r="S55" s="132"/>
      <c r="T55" s="132"/>
      <c r="U55" s="132"/>
      <c r="V55" s="132"/>
      <c r="W55" s="132"/>
      <c r="X55" s="132"/>
      <c r="Y55" s="132"/>
      <c r="Z55" s="132"/>
      <c r="AA55" s="132"/>
      <c r="AB55" s="132"/>
      <c r="AC55" s="132"/>
      <c r="AD55" s="132"/>
      <c r="AE55" s="132"/>
      <c r="AF55" s="132"/>
      <c r="AG55" s="132"/>
      <c r="AH55" s="132"/>
      <c r="AI55" s="132"/>
      <c r="AJ55" s="132"/>
      <c r="AK55" s="132"/>
      <c r="AL55" s="132"/>
      <c r="AM55" s="132"/>
      <c r="AN55" s="132"/>
      <c r="AO55" s="132"/>
      <c r="AP55" s="132"/>
      <c r="AQ55" s="132"/>
      <c r="AR55" s="132"/>
      <c r="AS55" s="132"/>
      <c r="AT55" s="132"/>
      <c r="AU55" s="132"/>
      <c r="AV55" s="132"/>
      <c r="AW55" s="132"/>
      <c r="AX55" s="132"/>
      <c r="AY55" s="132"/>
      <c r="AZ55" s="132"/>
      <c r="BA55" s="132"/>
      <c r="BB55" s="132"/>
      <c r="BC55" s="132"/>
      <c r="BD55" s="132"/>
      <c r="BE55" s="132"/>
      <c r="BF55" s="132"/>
      <c r="BG55" s="132"/>
      <c r="BH55" s="132"/>
      <c r="BI55" s="132"/>
      <c r="BJ55" s="132"/>
      <c r="BK55" s="132"/>
      <c r="BL55" s="132"/>
      <c r="BM55" s="132"/>
      <c r="BN55" s="132"/>
      <c r="BO55" s="132"/>
      <c r="BP55" s="132"/>
      <c r="BQ55" s="132"/>
      <c r="BR55" s="132"/>
      <c r="BS55" s="132"/>
      <c r="BT55" s="132"/>
      <c r="BU55" s="132"/>
      <c r="BV55" s="132"/>
      <c r="BW55" s="132"/>
      <c r="BX55" s="132"/>
      <c r="BY55" s="132"/>
      <c r="BZ55" s="132"/>
      <c r="CA55" s="132"/>
      <c r="CB55" s="132"/>
      <c r="CC55" s="132"/>
      <c r="CD55" s="132"/>
      <c r="CE55" s="132"/>
      <c r="CF55" s="132"/>
      <c r="CG55" s="133"/>
      <c r="CH55"/>
      <c r="CI55"/>
      <c r="CJ55"/>
      <c r="CK55"/>
      <c r="CL55"/>
      <c r="CM55"/>
      <c r="CN55"/>
      <c r="CO55"/>
      <c r="CP55"/>
      <c r="CQ55"/>
      <c r="CR55"/>
      <c r="CS55"/>
      <c r="CT55"/>
      <c r="CU55"/>
      <c r="CV55"/>
      <c r="CW55"/>
      <c r="CX55"/>
      <c r="CY55"/>
      <c r="CZ55"/>
      <c r="DA55"/>
      <c r="DB55"/>
      <c r="DC55"/>
      <c r="DD55"/>
      <c r="DE55"/>
      <c r="DF55"/>
      <c r="DG55"/>
      <c r="DH55"/>
      <c r="DI55"/>
      <c r="DJ55"/>
      <c r="DK55"/>
      <c r="DL55"/>
      <c r="DM55"/>
      <c r="DN55"/>
      <c r="DO55"/>
      <c r="DP55"/>
      <c r="DQ55"/>
    </row>
    <row r="56" spans="1:121" s="3" customFormat="1" ht="30" customHeight="1" thickBot="1" x14ac:dyDescent="0.3">
      <c r="A56" s="30"/>
      <c r="B56" s="106" t="s">
        <v>49</v>
      </c>
      <c r="C56" s="40"/>
      <c r="D56" s="21"/>
      <c r="E56" s="49"/>
      <c r="F56" s="49"/>
      <c r="G56" s="74"/>
      <c r="H56" s="14" t="str">
        <f t="shared" si="17"/>
        <v/>
      </c>
      <c r="I56" s="26"/>
      <c r="J56" s="26"/>
      <c r="K56" s="26"/>
      <c r="L56" s="26"/>
      <c r="M56" s="26"/>
      <c r="N56" s="26"/>
      <c r="O56" s="26"/>
      <c r="P56" s="26"/>
      <c r="Q56" s="26"/>
      <c r="R56" s="26"/>
      <c r="S56" s="26"/>
      <c r="T56" s="26"/>
      <c r="U56" s="26"/>
      <c r="V56" s="26"/>
      <c r="W56" s="26"/>
      <c r="X56" s="26"/>
      <c r="Y56" s="26"/>
      <c r="Z56" s="26"/>
      <c r="AA56" s="26"/>
      <c r="AB56" s="26"/>
      <c r="AC56" s="77"/>
      <c r="AD56" s="77"/>
      <c r="AE56" s="26"/>
      <c r="AF56" s="26"/>
      <c r="AG56" s="26"/>
      <c r="AH56" s="26"/>
      <c r="AI56" s="26"/>
      <c r="AJ56" s="26"/>
      <c r="AK56" s="26"/>
      <c r="AL56" s="26"/>
      <c r="AM56" s="26"/>
      <c r="AN56" s="26"/>
      <c r="AO56" s="26"/>
      <c r="AP56" s="26"/>
      <c r="AQ56" s="26"/>
      <c r="AR56" s="26"/>
      <c r="AS56" s="26"/>
      <c r="AT56" s="26"/>
      <c r="AU56" s="26"/>
      <c r="AV56" s="26"/>
      <c r="AW56" s="26"/>
      <c r="AX56" s="26"/>
      <c r="AY56" s="26"/>
      <c r="AZ56" s="26"/>
      <c r="BA56" s="26"/>
      <c r="BB56" s="26"/>
      <c r="BC56" s="26"/>
      <c r="BD56" s="26"/>
      <c r="BE56" s="26"/>
      <c r="BF56" s="26"/>
      <c r="BG56" s="26"/>
      <c r="BH56" s="26"/>
      <c r="BI56" s="26"/>
      <c r="BJ56" s="26"/>
      <c r="BK56" s="26"/>
      <c r="BL56" s="26"/>
      <c r="BM56" s="26"/>
      <c r="BN56" s="26" t="s">
        <v>53</v>
      </c>
      <c r="BO56" s="26"/>
      <c r="BP56" s="26"/>
      <c r="BQ56" s="56"/>
      <c r="BR56" s="56"/>
      <c r="BS56" s="56"/>
      <c r="BT56" s="56"/>
      <c r="BU56" s="56"/>
      <c r="BV56" s="56"/>
      <c r="BW56" s="56"/>
      <c r="BX56" s="56"/>
      <c r="BY56" s="56"/>
      <c r="BZ56" s="56"/>
      <c r="CA56" s="56"/>
      <c r="CB56" s="56"/>
      <c r="CC56" s="56"/>
      <c r="CD56" s="56"/>
      <c r="CE56" s="56"/>
      <c r="CF56" s="56"/>
      <c r="CG56" s="56"/>
      <c r="CH56"/>
      <c r="CI56"/>
      <c r="CJ56"/>
      <c r="CK56"/>
      <c r="CL56"/>
      <c r="CM56"/>
      <c r="CN56"/>
      <c r="CO56"/>
      <c r="CP56"/>
      <c r="CQ56"/>
      <c r="CR56"/>
      <c r="CS56"/>
      <c r="CT56"/>
      <c r="CU56"/>
      <c r="CV56"/>
      <c r="CW56"/>
      <c r="CX56"/>
      <c r="CY56"/>
      <c r="CZ56"/>
      <c r="DA56"/>
      <c r="DB56"/>
      <c r="DC56"/>
      <c r="DD56"/>
      <c r="DE56"/>
      <c r="DF56"/>
      <c r="DG56"/>
      <c r="DH56"/>
      <c r="DI56"/>
      <c r="DJ56"/>
      <c r="DK56"/>
      <c r="DL56"/>
      <c r="DM56"/>
      <c r="DN56"/>
      <c r="DO56"/>
      <c r="DP56"/>
      <c r="DQ56"/>
    </row>
    <row r="57" spans="1:121" s="3" customFormat="1" ht="30" customHeight="1" thickBot="1" x14ac:dyDescent="0.3">
      <c r="A57" s="30"/>
      <c r="B57" s="107" t="s">
        <v>51</v>
      </c>
      <c r="C57" s="40"/>
      <c r="D57" s="21"/>
      <c r="E57" s="49"/>
      <c r="F57" s="49"/>
      <c r="G57" s="74"/>
      <c r="H57" s="14" t="str">
        <f t="shared" si="17"/>
        <v/>
      </c>
      <c r="I57" s="26"/>
      <c r="J57" s="26"/>
      <c r="K57" s="26"/>
      <c r="L57" s="26"/>
      <c r="M57" s="26"/>
      <c r="N57" s="26"/>
      <c r="O57" s="26"/>
      <c r="P57" s="26"/>
      <c r="Q57" s="26"/>
      <c r="R57" s="26"/>
      <c r="S57" s="26"/>
      <c r="T57" s="26"/>
      <c r="U57" s="26"/>
      <c r="V57" s="26"/>
      <c r="W57" s="26"/>
      <c r="X57" s="26"/>
      <c r="Y57" s="26"/>
      <c r="Z57" s="26"/>
      <c r="AA57" s="26"/>
      <c r="AB57" s="26"/>
      <c r="AC57" s="77"/>
      <c r="AD57" s="77"/>
      <c r="AE57" s="26"/>
      <c r="AF57" s="26"/>
      <c r="AG57" s="26"/>
      <c r="AH57" s="26"/>
      <c r="AI57" s="26"/>
      <c r="AJ57" s="26"/>
      <c r="AK57" s="26"/>
      <c r="AL57" s="26"/>
      <c r="AM57" s="26"/>
      <c r="AN57" s="26"/>
      <c r="AO57" s="26"/>
      <c r="AP57" s="26"/>
      <c r="AQ57" s="26"/>
      <c r="AR57" s="26"/>
      <c r="AS57" s="26"/>
      <c r="AT57" s="26"/>
      <c r="AU57" s="26"/>
      <c r="AV57" s="26"/>
      <c r="AW57" s="26"/>
      <c r="AX57" s="26"/>
      <c r="AY57" s="26"/>
      <c r="AZ57" s="26"/>
      <c r="BA57" s="26"/>
      <c r="BB57" s="26"/>
      <c r="BC57" s="26"/>
      <c r="BD57" s="26"/>
      <c r="BE57" s="26"/>
      <c r="BF57" s="26"/>
      <c r="BG57" s="26"/>
      <c r="BH57" s="26"/>
      <c r="BI57" s="26"/>
      <c r="BJ57" s="26"/>
      <c r="BK57" s="26"/>
      <c r="BL57" s="26"/>
      <c r="BM57" s="26"/>
      <c r="BN57" s="26"/>
      <c r="BO57" s="26"/>
      <c r="BP57" s="26"/>
      <c r="BQ57" s="56"/>
      <c r="BR57" s="56"/>
      <c r="BS57" s="56"/>
      <c r="BT57" s="56"/>
      <c r="BU57" s="56"/>
      <c r="BV57" s="56"/>
      <c r="BW57" s="56"/>
      <c r="BX57" s="56"/>
      <c r="BY57" s="56"/>
      <c r="BZ57" s="56"/>
      <c r="CA57" s="56"/>
      <c r="CB57" s="56"/>
      <c r="CC57" s="56"/>
      <c r="CD57" s="56"/>
      <c r="CE57" s="56"/>
      <c r="CF57" s="56"/>
      <c r="CG57" s="56"/>
      <c r="CH57"/>
      <c r="CI57"/>
      <c r="CJ57"/>
      <c r="CK57"/>
      <c r="CL57"/>
      <c r="CM57"/>
      <c r="CN57"/>
      <c r="CO57"/>
      <c r="CP57"/>
      <c r="CQ57"/>
      <c r="CR57"/>
      <c r="CS57"/>
      <c r="CT57"/>
      <c r="CU57"/>
      <c r="CV57"/>
      <c r="CW57"/>
      <c r="CX57"/>
      <c r="CY57"/>
      <c r="CZ57"/>
      <c r="DA57"/>
      <c r="DB57"/>
      <c r="DC57"/>
      <c r="DD57"/>
      <c r="DE57"/>
      <c r="DF57"/>
      <c r="DG57"/>
      <c r="DH57"/>
      <c r="DI57"/>
      <c r="DJ57"/>
      <c r="DK57"/>
      <c r="DL57"/>
      <c r="DM57"/>
      <c r="DN57"/>
      <c r="DO57"/>
      <c r="DP57"/>
      <c r="DQ57"/>
    </row>
    <row r="58" spans="1:121" s="3" customFormat="1" ht="30" customHeight="1" thickBot="1" x14ac:dyDescent="0.3">
      <c r="A58" s="30"/>
      <c r="B58" s="107" t="s">
        <v>60</v>
      </c>
      <c r="C58" s="40"/>
      <c r="D58" s="21"/>
      <c r="E58" s="49"/>
      <c r="F58" s="49"/>
      <c r="G58" s="74"/>
      <c r="H58" s="14"/>
      <c r="I58" s="26"/>
      <c r="J58" s="26"/>
      <c r="K58" s="26"/>
      <c r="L58" s="26"/>
      <c r="M58" s="26"/>
      <c r="N58" s="26"/>
      <c r="O58" s="26"/>
      <c r="P58" s="26"/>
      <c r="Q58" s="26"/>
      <c r="R58" s="26"/>
      <c r="S58" s="26"/>
      <c r="T58" s="26"/>
      <c r="U58" s="26"/>
      <c r="V58" s="26"/>
      <c r="W58" s="26"/>
      <c r="X58" s="26"/>
      <c r="Y58" s="26"/>
      <c r="Z58" s="26"/>
      <c r="AA58" s="26"/>
      <c r="AB58" s="26"/>
      <c r="AC58" s="77"/>
      <c r="AD58" s="77"/>
      <c r="AE58" s="26"/>
      <c r="AF58" s="26"/>
      <c r="AG58" s="26"/>
      <c r="AH58" s="26"/>
      <c r="AI58" s="26"/>
      <c r="AJ58" s="26"/>
      <c r="AK58" s="26"/>
      <c r="AL58" s="26"/>
      <c r="AM58" s="26"/>
      <c r="AN58" s="26"/>
      <c r="AO58" s="26"/>
      <c r="AP58" s="26"/>
      <c r="AQ58" s="26"/>
      <c r="AR58" s="26"/>
      <c r="AS58" s="26"/>
      <c r="AT58" s="26"/>
      <c r="AU58" s="26"/>
      <c r="AV58" s="26"/>
      <c r="AW58" s="26"/>
      <c r="AX58" s="26"/>
      <c r="AY58" s="26"/>
      <c r="AZ58" s="26"/>
      <c r="BA58" s="26"/>
      <c r="BB58" s="26"/>
      <c r="BC58" s="26"/>
      <c r="BD58" s="26"/>
      <c r="BE58" s="26"/>
      <c r="BF58" s="26"/>
      <c r="BG58" s="26"/>
      <c r="BH58" s="26"/>
      <c r="BI58" s="26"/>
      <c r="BJ58" s="26"/>
      <c r="BK58" s="26"/>
      <c r="BL58" s="26"/>
      <c r="BM58" s="26"/>
      <c r="BN58" s="26"/>
      <c r="BO58" s="26"/>
      <c r="BP58" s="26"/>
      <c r="BQ58" s="56"/>
      <c r="BR58" s="56"/>
      <c r="BS58" s="56"/>
      <c r="BT58" s="56"/>
      <c r="BU58" s="56"/>
      <c r="BV58" s="56"/>
      <c r="BW58" s="56"/>
      <c r="BX58" s="56"/>
      <c r="BY58" s="56"/>
      <c r="BZ58" s="56"/>
      <c r="CA58" s="56"/>
      <c r="CB58" s="56"/>
      <c r="CC58" s="56"/>
      <c r="CD58" s="56"/>
      <c r="CE58" s="56"/>
      <c r="CF58" s="56"/>
      <c r="CG58" s="56"/>
      <c r="CH58"/>
      <c r="CI58"/>
      <c r="CJ58"/>
      <c r="CK58"/>
      <c r="CL58"/>
      <c r="CM58"/>
      <c r="CN58"/>
      <c r="CO58"/>
      <c r="CP58"/>
      <c r="CQ58"/>
      <c r="CR58"/>
      <c r="CS58"/>
      <c r="CT58"/>
      <c r="CU58"/>
      <c r="CV58"/>
      <c r="CW58"/>
      <c r="CX58"/>
      <c r="CY58"/>
      <c r="CZ58"/>
      <c r="DA58"/>
      <c r="DB58"/>
      <c r="DC58"/>
      <c r="DD58"/>
      <c r="DE58"/>
      <c r="DF58"/>
      <c r="DG58"/>
      <c r="DH58"/>
      <c r="DI58"/>
      <c r="DJ58"/>
      <c r="DK58"/>
      <c r="DL58"/>
      <c r="DM58"/>
      <c r="DN58"/>
      <c r="DO58"/>
      <c r="DP58"/>
      <c r="DQ58"/>
    </row>
    <row r="59" spans="1:121" s="3" customFormat="1" ht="30" customHeight="1" thickBot="1" x14ac:dyDescent="0.3">
      <c r="A59" s="30"/>
      <c r="B59" s="107" t="s">
        <v>58</v>
      </c>
      <c r="C59" s="40"/>
      <c r="D59" s="21"/>
      <c r="E59" s="49"/>
      <c r="F59" s="49"/>
      <c r="G59" s="74"/>
      <c r="H59" s="14" t="str">
        <f t="shared" si="17"/>
        <v/>
      </c>
      <c r="I59" s="26"/>
      <c r="J59" s="26"/>
      <c r="K59" s="26"/>
      <c r="L59" s="26"/>
      <c r="M59" s="26"/>
      <c r="N59" s="26"/>
      <c r="O59" s="26"/>
      <c r="P59" s="26"/>
      <c r="Q59" s="26"/>
      <c r="R59" s="26"/>
      <c r="S59" s="26"/>
      <c r="T59" s="26"/>
      <c r="U59" s="26"/>
      <c r="V59" s="26"/>
      <c r="W59" s="26"/>
      <c r="X59" s="26"/>
      <c r="Y59" s="26"/>
      <c r="Z59" s="26"/>
      <c r="AA59" s="26"/>
      <c r="AB59" s="26"/>
      <c r="AC59" s="77"/>
      <c r="AD59" s="77"/>
      <c r="AE59" s="26"/>
      <c r="AF59" s="26"/>
      <c r="AG59" s="26"/>
      <c r="AH59" s="26"/>
      <c r="AI59" s="26"/>
      <c r="AJ59" s="26"/>
      <c r="AK59" s="26"/>
      <c r="AL59" s="26"/>
      <c r="AM59" s="26"/>
      <c r="AN59" s="26"/>
      <c r="AO59" s="26"/>
      <c r="AP59" s="26"/>
      <c r="AQ59" s="26"/>
      <c r="AR59" s="26"/>
      <c r="AS59" s="26"/>
      <c r="AT59" s="26"/>
      <c r="AU59" s="26"/>
      <c r="AV59" s="26"/>
      <c r="AW59" s="26"/>
      <c r="AX59" s="26"/>
      <c r="AY59" s="26"/>
      <c r="AZ59" s="26"/>
      <c r="BA59" s="26"/>
      <c r="BB59" s="26"/>
      <c r="BC59" s="26"/>
      <c r="BD59" s="26"/>
      <c r="BE59" s="26"/>
      <c r="BF59" s="26"/>
      <c r="BG59" s="26"/>
      <c r="BH59" s="26"/>
      <c r="BI59" s="26"/>
      <c r="BJ59" s="26"/>
      <c r="BK59" s="26"/>
      <c r="BL59" s="26"/>
      <c r="BM59" s="26"/>
      <c r="BN59" s="26"/>
      <c r="BO59" s="26"/>
      <c r="BP59" s="26"/>
      <c r="BQ59" s="56"/>
      <c r="BR59" s="56"/>
      <c r="BS59" s="56"/>
      <c r="BT59" s="56"/>
      <c r="BU59" s="56"/>
      <c r="BV59" s="56"/>
      <c r="BW59" s="56"/>
      <c r="BX59" s="56"/>
      <c r="BY59" s="56"/>
      <c r="BZ59" s="56"/>
      <c r="CA59" s="56"/>
      <c r="CB59" s="56"/>
      <c r="CC59" s="56"/>
      <c r="CD59" s="56"/>
      <c r="CE59" s="56"/>
      <c r="CF59" s="56"/>
      <c r="CG59" s="56"/>
      <c r="CH59"/>
      <c r="CI59"/>
      <c r="CJ59"/>
      <c r="CK59"/>
      <c r="CL59"/>
      <c r="CM59"/>
      <c r="CN59"/>
      <c r="CO59"/>
      <c r="CP59"/>
      <c r="CQ59"/>
      <c r="CR59"/>
      <c r="CS59"/>
      <c r="CT59"/>
      <c r="CU59"/>
      <c r="CV59"/>
      <c r="CW59"/>
      <c r="CX59"/>
      <c r="CY59"/>
      <c r="CZ59"/>
      <c r="DA59"/>
      <c r="DB59"/>
      <c r="DC59"/>
      <c r="DD59"/>
      <c r="DE59"/>
      <c r="DF59"/>
      <c r="DG59"/>
      <c r="DH59"/>
      <c r="DI59"/>
      <c r="DJ59"/>
      <c r="DK59"/>
      <c r="DL59"/>
      <c r="DM59"/>
      <c r="DN59"/>
      <c r="DO59"/>
      <c r="DP59"/>
      <c r="DQ59"/>
    </row>
    <row r="60" spans="1:121" s="3" customFormat="1" ht="30" customHeight="1" thickBot="1" x14ac:dyDescent="0.3">
      <c r="A60" s="30"/>
      <c r="B60" s="107" t="s">
        <v>59</v>
      </c>
      <c r="C60" s="40"/>
      <c r="D60" s="21"/>
      <c r="E60" s="49"/>
      <c r="F60" s="49"/>
      <c r="G60" s="74"/>
      <c r="H60" s="14" t="str">
        <f t="shared" si="17"/>
        <v/>
      </c>
      <c r="I60" s="26"/>
      <c r="J60" s="26"/>
      <c r="K60" s="26"/>
      <c r="L60" s="26"/>
      <c r="M60" s="26"/>
      <c r="N60" s="26"/>
      <c r="O60" s="26"/>
      <c r="P60" s="26"/>
      <c r="Q60" s="26"/>
      <c r="R60" s="26"/>
      <c r="S60" s="26"/>
      <c r="T60" s="26"/>
      <c r="U60" s="26"/>
      <c r="V60" s="26"/>
      <c r="W60" s="26"/>
      <c r="X60" s="26"/>
      <c r="Y60" s="26"/>
      <c r="Z60" s="26"/>
      <c r="AA60" s="26"/>
      <c r="AB60" s="26"/>
      <c r="AC60" s="77"/>
      <c r="AD60" s="77"/>
      <c r="AE60" s="26"/>
      <c r="AF60" s="26"/>
      <c r="AG60" s="26"/>
      <c r="AH60" s="26"/>
      <c r="AI60" s="26"/>
      <c r="AJ60" s="26"/>
      <c r="AK60" s="26"/>
      <c r="AL60" s="26"/>
      <c r="AM60" s="26"/>
      <c r="AN60" s="26"/>
      <c r="AO60" s="26"/>
      <c r="AP60" s="26"/>
      <c r="AQ60" s="26"/>
      <c r="AR60" s="26"/>
      <c r="AS60" s="26"/>
      <c r="AT60" s="26"/>
      <c r="AU60" s="26"/>
      <c r="AV60" s="26"/>
      <c r="AW60" s="26"/>
      <c r="AX60" s="26"/>
      <c r="AY60" s="26"/>
      <c r="AZ60" s="26"/>
      <c r="BA60" s="26"/>
      <c r="BB60" s="26"/>
      <c r="BC60" s="26"/>
      <c r="BD60" s="26"/>
      <c r="BE60" s="26"/>
      <c r="BF60" s="26"/>
      <c r="BG60" s="26"/>
      <c r="BH60" s="26"/>
      <c r="BI60" s="26"/>
      <c r="BJ60" s="26"/>
      <c r="BK60" s="26"/>
      <c r="BL60" s="26"/>
      <c r="BM60" s="26"/>
      <c r="BN60" s="26"/>
      <c r="BO60" s="26"/>
      <c r="BP60" s="26"/>
      <c r="BQ60" s="56"/>
      <c r="BR60" s="56"/>
      <c r="BS60" s="56"/>
      <c r="BT60" s="56"/>
      <c r="BU60" s="56"/>
      <c r="BV60" s="56"/>
      <c r="BW60" s="56"/>
      <c r="BX60" s="56"/>
      <c r="BY60" s="56"/>
      <c r="BZ60" s="56"/>
      <c r="CA60" s="56"/>
      <c r="CB60" s="56"/>
      <c r="CC60" s="56"/>
      <c r="CD60" s="56"/>
      <c r="CE60" s="56"/>
      <c r="CF60" s="56"/>
      <c r="CG60" s="56"/>
      <c r="CH60"/>
      <c r="CI60"/>
      <c r="CJ60"/>
      <c r="CK60"/>
      <c r="CL60"/>
      <c r="CM60"/>
      <c r="CN60"/>
      <c r="CO60"/>
      <c r="CP60"/>
      <c r="CQ60"/>
      <c r="CR60"/>
      <c r="CS60"/>
      <c r="CT60"/>
      <c r="CU60"/>
      <c r="CV60"/>
      <c r="CW60"/>
      <c r="CX60"/>
      <c r="CY60"/>
      <c r="CZ60"/>
      <c r="DA60"/>
      <c r="DB60"/>
      <c r="DC60"/>
      <c r="DD60"/>
      <c r="DE60"/>
      <c r="DF60"/>
      <c r="DG60"/>
      <c r="DH60"/>
      <c r="DI60"/>
      <c r="DJ60"/>
      <c r="DK60"/>
      <c r="DL60"/>
      <c r="DM60"/>
      <c r="DN60"/>
      <c r="DO60"/>
      <c r="DP60"/>
      <c r="DQ60"/>
    </row>
    <row r="61" spans="1:121" s="3" customFormat="1" ht="30" customHeight="1" thickBot="1" x14ac:dyDescent="0.3">
      <c r="A61" s="30"/>
      <c r="B61" s="107" t="s">
        <v>50</v>
      </c>
      <c r="C61" s="40"/>
      <c r="D61" s="21"/>
      <c r="E61" s="49"/>
      <c r="F61" s="49"/>
      <c r="G61" s="74"/>
      <c r="H61" s="14" t="str">
        <f t="shared" si="17"/>
        <v/>
      </c>
      <c r="I61" s="26"/>
      <c r="J61" s="26"/>
      <c r="K61" s="26"/>
      <c r="L61" s="26"/>
      <c r="M61" s="26"/>
      <c r="N61" s="26"/>
      <c r="O61" s="26"/>
      <c r="P61" s="26"/>
      <c r="Q61" s="26"/>
      <c r="R61" s="26"/>
      <c r="S61" s="26"/>
      <c r="T61" s="26"/>
      <c r="U61" s="26"/>
      <c r="V61" s="26"/>
      <c r="W61" s="26"/>
      <c r="X61" s="26"/>
      <c r="Y61" s="26"/>
      <c r="Z61" s="26"/>
      <c r="AA61" s="26"/>
      <c r="AB61" s="26"/>
      <c r="AC61" s="77"/>
      <c r="AD61" s="77"/>
      <c r="AE61" s="26"/>
      <c r="AF61" s="26"/>
      <c r="AG61" s="26"/>
      <c r="AH61" s="26"/>
      <c r="AI61" s="26"/>
      <c r="AJ61" s="26"/>
      <c r="AK61" s="26"/>
      <c r="AL61" s="26"/>
      <c r="AM61" s="26"/>
      <c r="AN61" s="26"/>
      <c r="AO61" s="26"/>
      <c r="AP61" s="26"/>
      <c r="AQ61" s="26"/>
      <c r="AR61" s="26"/>
      <c r="AS61" s="26"/>
      <c r="AT61" s="26"/>
      <c r="AU61" s="26"/>
      <c r="AV61" s="26"/>
      <c r="AW61" s="26"/>
      <c r="AX61" s="26"/>
      <c r="AY61" s="26"/>
      <c r="AZ61" s="26"/>
      <c r="BA61" s="26"/>
      <c r="BB61" s="26"/>
      <c r="BC61" s="26"/>
      <c r="BD61" s="26"/>
      <c r="BE61" s="26"/>
      <c r="BF61" s="26"/>
      <c r="BG61" s="26"/>
      <c r="BH61" s="26"/>
      <c r="BI61" s="26"/>
      <c r="BJ61" s="26"/>
      <c r="BK61" s="26"/>
      <c r="BL61" s="26"/>
      <c r="BM61" s="26"/>
      <c r="BN61" s="26"/>
      <c r="BO61" s="26"/>
      <c r="BP61" s="26"/>
      <c r="BQ61" s="56"/>
      <c r="BR61" s="56"/>
      <c r="BS61" s="56"/>
      <c r="BT61" s="56"/>
      <c r="BU61" s="56"/>
      <c r="BV61" s="56"/>
      <c r="BW61" s="56"/>
      <c r="BX61" s="56"/>
      <c r="BY61" s="56"/>
      <c r="BZ61" s="56"/>
      <c r="CA61" s="56"/>
      <c r="CB61" s="56"/>
      <c r="CC61" s="56"/>
      <c r="CD61" s="56"/>
      <c r="CE61" s="56"/>
      <c r="CF61" s="56"/>
      <c r="CG61" s="56"/>
      <c r="CH61"/>
      <c r="CI61"/>
      <c r="CJ61"/>
      <c r="CK61"/>
      <c r="CL61"/>
      <c r="CM61"/>
      <c r="CN61"/>
      <c r="CO61"/>
      <c r="CP61"/>
      <c r="CQ61"/>
      <c r="CR61"/>
      <c r="CS61"/>
      <c r="CT61"/>
      <c r="CU61"/>
      <c r="CV61"/>
      <c r="CW61"/>
      <c r="CX61"/>
      <c r="CY61"/>
      <c r="CZ61"/>
      <c r="DA61"/>
      <c r="DB61"/>
      <c r="DC61"/>
      <c r="DD61"/>
      <c r="DE61"/>
      <c r="DF61"/>
      <c r="DG61"/>
      <c r="DH61"/>
      <c r="DI61"/>
      <c r="DJ61"/>
      <c r="DK61"/>
      <c r="DL61"/>
      <c r="DM61"/>
      <c r="DN61"/>
      <c r="DO61"/>
      <c r="DP61"/>
      <c r="DQ61"/>
    </row>
    <row r="62" spans="1:121" s="3" customFormat="1" ht="30" customHeight="1" thickBot="1" x14ac:dyDescent="0.3">
      <c r="A62" s="30" t="s">
        <v>8</v>
      </c>
      <c r="B62" s="63"/>
      <c r="C62" s="64"/>
      <c r="D62" s="65"/>
      <c r="E62" s="66"/>
      <c r="F62" s="67"/>
      <c r="G62" s="14"/>
      <c r="H62" s="14" t="str">
        <f t="shared" si="17"/>
        <v/>
      </c>
      <c r="I62" s="26"/>
      <c r="J62" s="26"/>
      <c r="K62" s="26"/>
      <c r="L62" s="26"/>
      <c r="M62" s="26"/>
      <c r="N62" s="26"/>
      <c r="O62" s="26"/>
      <c r="P62" s="26"/>
      <c r="Q62" s="26"/>
      <c r="R62" s="26"/>
      <c r="S62" s="26"/>
      <c r="T62" s="26"/>
      <c r="U62" s="26"/>
      <c r="V62" s="26"/>
      <c r="W62" s="26"/>
      <c r="X62" s="26"/>
      <c r="Y62" s="26"/>
      <c r="Z62" s="26"/>
      <c r="AA62" s="26"/>
      <c r="AB62" s="56"/>
      <c r="AC62" s="56"/>
      <c r="AD62" s="56"/>
      <c r="AE62" s="26"/>
      <c r="AF62" s="26"/>
      <c r="AG62" s="26"/>
      <c r="AH62" s="26"/>
      <c r="AI62" s="26"/>
      <c r="AJ62" s="26"/>
      <c r="AK62" s="26"/>
      <c r="AL62" s="26"/>
      <c r="AM62" s="26"/>
      <c r="AN62" s="26"/>
      <c r="AO62" s="26"/>
      <c r="AP62" s="26"/>
      <c r="AQ62" s="26"/>
      <c r="AR62" s="26"/>
      <c r="AS62" s="26"/>
      <c r="AT62" s="26"/>
      <c r="AU62" s="26"/>
      <c r="AV62" s="26"/>
      <c r="AW62" s="26"/>
      <c r="AX62" s="26"/>
      <c r="AY62" s="26"/>
      <c r="AZ62" s="26"/>
      <c r="BA62" s="26"/>
      <c r="BB62" s="26"/>
      <c r="BC62" s="26"/>
      <c r="BD62" s="26"/>
      <c r="BE62" s="26"/>
      <c r="BF62" s="26"/>
      <c r="BG62" s="26"/>
      <c r="BH62" s="26"/>
      <c r="BI62" s="26"/>
      <c r="BJ62" s="26"/>
      <c r="BK62" s="26"/>
      <c r="BL62" s="26"/>
      <c r="BM62" s="26"/>
      <c r="BN62" s="26"/>
      <c r="BO62" s="26"/>
      <c r="BP62" s="26"/>
      <c r="BQ62" s="56"/>
      <c r="BR62" s="56"/>
      <c r="BS62" s="56"/>
      <c r="BT62" s="56"/>
      <c r="BU62" s="56"/>
      <c r="BV62" s="56"/>
      <c r="BW62" s="56"/>
      <c r="BX62" s="56"/>
      <c r="BY62" s="56"/>
      <c r="BZ62" s="56"/>
      <c r="CA62" s="56"/>
      <c r="CB62" s="56"/>
      <c r="CC62" s="56"/>
      <c r="CD62" s="56"/>
      <c r="CE62" s="56"/>
      <c r="CF62" s="56"/>
      <c r="CG62" s="56"/>
      <c r="CH62"/>
      <c r="CI62"/>
      <c r="CJ62"/>
      <c r="CK62"/>
      <c r="CL62"/>
      <c r="CM62"/>
      <c r="CN62"/>
      <c r="CO62"/>
      <c r="CP62"/>
      <c r="CQ62"/>
      <c r="CR62"/>
      <c r="CS62"/>
      <c r="CT62"/>
      <c r="CU62"/>
      <c r="CV62"/>
      <c r="CW62"/>
      <c r="CX62"/>
      <c r="CY62"/>
      <c r="CZ62"/>
      <c r="DA62"/>
      <c r="DB62"/>
      <c r="DC62"/>
      <c r="DD62"/>
      <c r="DE62"/>
      <c r="DF62"/>
      <c r="DG62"/>
      <c r="DH62"/>
      <c r="DI62"/>
      <c r="DJ62"/>
      <c r="DK62"/>
      <c r="DL62"/>
      <c r="DM62"/>
      <c r="DN62"/>
      <c r="DO62"/>
      <c r="DP62"/>
      <c r="DQ62"/>
    </row>
    <row r="63" spans="1:121" s="3" customFormat="1" ht="30" customHeight="1" thickBot="1" x14ac:dyDescent="0.3">
      <c r="A63" s="30"/>
      <c r="B63" s="68"/>
      <c r="C63" s="64"/>
      <c r="D63" s="65"/>
      <c r="E63" s="69"/>
      <c r="F63" s="69"/>
      <c r="G63" s="14"/>
      <c r="H63" s="14" t="str">
        <f t="shared" si="17"/>
        <v/>
      </c>
      <c r="I63" s="26"/>
      <c r="J63" s="26"/>
      <c r="K63" s="26"/>
      <c r="L63" s="26"/>
      <c r="M63" s="26"/>
      <c r="N63" s="26"/>
      <c r="O63" s="26"/>
      <c r="P63" s="26"/>
      <c r="Q63" s="26"/>
      <c r="R63" s="26"/>
      <c r="S63" s="26"/>
      <c r="T63" s="26"/>
      <c r="U63" s="26"/>
      <c r="V63" s="26"/>
      <c r="W63" s="26"/>
      <c r="X63" s="26"/>
      <c r="Y63" s="26"/>
      <c r="Z63" s="26"/>
      <c r="AA63" s="26"/>
      <c r="AB63" s="26"/>
      <c r="AC63" s="26"/>
      <c r="AD63" s="26"/>
      <c r="AE63" s="26"/>
      <c r="AF63" s="26"/>
      <c r="AG63" s="26"/>
      <c r="AH63" s="26"/>
      <c r="AI63" s="26"/>
      <c r="AJ63" s="26"/>
      <c r="AK63" s="26"/>
      <c r="AL63" s="26"/>
      <c r="AM63" s="26"/>
      <c r="AN63" s="26"/>
      <c r="AO63" s="26"/>
      <c r="AP63" s="26"/>
      <c r="AQ63" s="26"/>
      <c r="AR63" s="26"/>
      <c r="AS63" s="26"/>
      <c r="AT63" s="26"/>
      <c r="AU63" s="26"/>
      <c r="AV63" s="26"/>
      <c r="AW63" s="26"/>
      <c r="AX63" s="26"/>
      <c r="AY63" s="26"/>
      <c r="AZ63" s="26"/>
      <c r="BA63" s="26"/>
      <c r="BB63" s="26"/>
      <c r="BC63" s="26"/>
      <c r="BD63" s="26"/>
      <c r="BE63" s="26"/>
      <c r="BF63" s="26"/>
      <c r="BG63" s="26"/>
      <c r="BH63" s="26"/>
      <c r="BI63" s="26"/>
      <c r="BJ63" s="26"/>
      <c r="BK63" s="26"/>
      <c r="BL63" s="26"/>
      <c r="BM63" s="26"/>
      <c r="BN63" s="26"/>
      <c r="BO63" s="26"/>
      <c r="BP63" s="26"/>
      <c r="BQ63" s="26"/>
      <c r="BR63" s="26"/>
      <c r="BS63" s="26"/>
      <c r="BT63" s="26"/>
      <c r="BU63" s="26"/>
      <c r="BV63" s="26"/>
      <c r="BW63" s="26"/>
      <c r="BX63" s="26"/>
      <c r="BY63" s="26"/>
      <c r="BZ63" s="26"/>
      <c r="CA63" s="26"/>
      <c r="CB63" s="26"/>
      <c r="CC63" s="26"/>
      <c r="CD63" s="26"/>
      <c r="CE63" s="26"/>
      <c r="CF63" s="26"/>
      <c r="CG63" s="26"/>
      <c r="CH63"/>
      <c r="CI63"/>
      <c r="CJ63"/>
      <c r="CK63"/>
      <c r="CL63"/>
      <c r="CM63"/>
      <c r="CN63"/>
      <c r="CO63"/>
      <c r="CP63"/>
      <c r="CQ63"/>
      <c r="CR63"/>
      <c r="CS63"/>
      <c r="CT63"/>
      <c r="CU63"/>
      <c r="CV63"/>
      <c r="CW63"/>
      <c r="CX63"/>
      <c r="CY63"/>
      <c r="CZ63"/>
      <c r="DA63"/>
      <c r="DB63"/>
      <c r="DC63"/>
      <c r="DD63"/>
      <c r="DE63"/>
      <c r="DF63"/>
      <c r="DG63"/>
      <c r="DH63"/>
      <c r="DI63"/>
      <c r="DJ63"/>
      <c r="DK63"/>
      <c r="DL63"/>
      <c r="DM63"/>
      <c r="DN63"/>
      <c r="DO63"/>
      <c r="DP63"/>
      <c r="DQ63"/>
    </row>
    <row r="64" spans="1:121" s="3" customFormat="1" ht="30" customHeight="1" thickBot="1" x14ac:dyDescent="0.3">
      <c r="A64" s="30"/>
      <c r="B64" s="68"/>
      <c r="C64" s="64"/>
      <c r="D64" s="65"/>
      <c r="E64" s="69"/>
      <c r="F64" s="69"/>
      <c r="G64" s="14"/>
      <c r="H64" s="14" t="str">
        <f t="shared" si="17"/>
        <v/>
      </c>
      <c r="I64" s="26"/>
      <c r="J64" s="26"/>
      <c r="K64" s="26"/>
      <c r="L64" s="26"/>
      <c r="M64" s="26"/>
      <c r="N64" s="26"/>
      <c r="O64" s="26"/>
      <c r="P64" s="26"/>
      <c r="Q64" s="26"/>
      <c r="R64" s="26"/>
      <c r="S64" s="26"/>
      <c r="T64" s="26"/>
      <c r="U64" s="26"/>
      <c r="V64" s="26"/>
      <c r="W64" s="26"/>
      <c r="X64" s="26"/>
      <c r="Y64" s="26"/>
      <c r="Z64" s="26"/>
      <c r="AA64" s="26"/>
      <c r="AB64" s="26"/>
      <c r="AC64" s="26"/>
      <c r="AD64" s="26"/>
      <c r="AE64" s="26"/>
      <c r="AF64" s="26"/>
      <c r="AG64" s="26"/>
      <c r="AH64" s="26"/>
      <c r="AI64" s="26"/>
      <c r="AJ64" s="26"/>
      <c r="AK64" s="26"/>
      <c r="AL64" s="26"/>
      <c r="AM64" s="26"/>
      <c r="AN64" s="26"/>
      <c r="AO64" s="26"/>
      <c r="AP64" s="26"/>
      <c r="AQ64" s="26"/>
      <c r="AR64" s="26"/>
      <c r="AS64" s="26"/>
      <c r="AT64" s="26"/>
      <c r="AU64" s="26"/>
      <c r="AV64" s="26"/>
      <c r="AW64" s="26"/>
      <c r="AX64" s="26"/>
      <c r="AY64" s="26"/>
      <c r="AZ64" s="26"/>
      <c r="BA64" s="26"/>
      <c r="BB64" s="26"/>
      <c r="BC64" s="26"/>
      <c r="BD64" s="26"/>
      <c r="BE64" s="26"/>
      <c r="BF64" s="26"/>
      <c r="BG64" s="26"/>
      <c r="BH64" s="26"/>
      <c r="BI64" s="26"/>
      <c r="BJ64" s="26"/>
      <c r="BK64" s="26"/>
      <c r="BL64" s="26"/>
      <c r="BM64" s="26"/>
      <c r="BN64" s="26"/>
      <c r="BO64" s="26"/>
      <c r="BP64" s="26"/>
      <c r="BQ64" s="26"/>
      <c r="BR64" s="26"/>
      <c r="BS64" s="26"/>
      <c r="BT64" s="26"/>
      <c r="BU64" s="26"/>
      <c r="BV64" s="26"/>
      <c r="BW64" s="26"/>
      <c r="BX64" s="26"/>
      <c r="BY64" s="26"/>
      <c r="BZ64" s="26"/>
      <c r="CA64" s="26"/>
      <c r="CB64" s="26"/>
      <c r="CC64" s="26"/>
      <c r="CD64" s="26"/>
      <c r="CE64" s="26"/>
      <c r="CF64" s="26"/>
      <c r="CG64" s="26"/>
      <c r="CH64"/>
      <c r="CI64"/>
      <c r="CJ64"/>
      <c r="CK64"/>
      <c r="CL64"/>
      <c r="CM64"/>
      <c r="CN64"/>
      <c r="CO64"/>
      <c r="CP64"/>
      <c r="CQ64"/>
      <c r="CR64"/>
      <c r="CS64"/>
      <c r="CT64"/>
      <c r="CU64"/>
      <c r="CV64"/>
      <c r="CW64"/>
      <c r="CX64"/>
      <c r="CY64"/>
      <c r="CZ64"/>
      <c r="DA64"/>
      <c r="DB64"/>
      <c r="DC64"/>
      <c r="DD64"/>
      <c r="DE64"/>
      <c r="DF64"/>
      <c r="DG64"/>
      <c r="DH64"/>
      <c r="DI64"/>
      <c r="DJ64"/>
      <c r="DK64"/>
      <c r="DL64"/>
      <c r="DM64"/>
      <c r="DN64"/>
      <c r="DO64"/>
      <c r="DP64"/>
      <c r="DQ64"/>
    </row>
    <row r="65" spans="1:121" s="3" customFormat="1" ht="30" customHeight="1" thickBot="1" x14ac:dyDescent="0.3">
      <c r="A65" s="30"/>
      <c r="B65" s="68"/>
      <c r="C65" s="64"/>
      <c r="D65" s="65"/>
      <c r="E65" s="69"/>
      <c r="F65" s="69"/>
      <c r="G65" s="14"/>
      <c r="H65" s="14" t="str">
        <f t="shared" si="17"/>
        <v/>
      </c>
      <c r="I65" s="26"/>
      <c r="J65" s="26"/>
      <c r="K65" s="26"/>
      <c r="L65" s="26"/>
      <c r="M65" s="26"/>
      <c r="N65" s="26"/>
      <c r="O65" s="26"/>
      <c r="P65" s="26"/>
      <c r="Q65" s="26"/>
      <c r="R65" s="26"/>
      <c r="S65" s="26"/>
      <c r="T65" s="26"/>
      <c r="U65" s="26"/>
      <c r="V65" s="26"/>
      <c r="W65" s="26"/>
      <c r="X65" s="26"/>
      <c r="Y65" s="26"/>
      <c r="Z65" s="26"/>
      <c r="AA65" s="26"/>
      <c r="AB65" s="26"/>
      <c r="AC65" s="26"/>
      <c r="AD65" s="26"/>
      <c r="AE65" s="26"/>
      <c r="AF65" s="26"/>
      <c r="AG65" s="26"/>
      <c r="AH65" s="26"/>
      <c r="AI65" s="26"/>
      <c r="AJ65" s="26"/>
      <c r="AK65" s="26"/>
      <c r="AL65" s="26"/>
      <c r="AM65" s="26"/>
      <c r="AN65" s="26"/>
      <c r="AO65" s="26"/>
      <c r="AP65" s="26"/>
      <c r="AQ65" s="26"/>
      <c r="AR65" s="26"/>
      <c r="AS65" s="26"/>
      <c r="AT65" s="26"/>
      <c r="AU65" s="26"/>
      <c r="AV65" s="26"/>
      <c r="AW65" s="26"/>
      <c r="AX65" s="26"/>
      <c r="AY65" s="26"/>
      <c r="AZ65" s="26"/>
      <c r="BA65" s="26"/>
      <c r="BB65" s="26"/>
      <c r="BC65" s="26"/>
      <c r="BD65" s="26"/>
      <c r="BE65" s="26"/>
      <c r="BF65" s="26"/>
      <c r="BG65" s="26"/>
      <c r="BH65" s="26"/>
      <c r="BI65" s="26"/>
      <c r="BJ65" s="26"/>
      <c r="BK65" s="26"/>
      <c r="BL65" s="26"/>
      <c r="BM65" s="26"/>
      <c r="BN65" s="26"/>
      <c r="BO65" s="26"/>
      <c r="BP65" s="26"/>
      <c r="BQ65" s="26"/>
      <c r="BR65" s="26"/>
      <c r="BS65" s="26"/>
      <c r="BT65" s="26"/>
      <c r="BU65" s="26"/>
      <c r="BV65" s="26"/>
      <c r="BW65" s="26"/>
      <c r="BX65" s="26"/>
      <c r="BY65" s="26"/>
      <c r="BZ65" s="26"/>
      <c r="CA65" s="26"/>
      <c r="CB65" s="26"/>
      <c r="CC65" s="26"/>
      <c r="CD65" s="26"/>
      <c r="CE65" s="26"/>
      <c r="CF65" s="26"/>
      <c r="CG65" s="26"/>
      <c r="CH65"/>
      <c r="CI65"/>
      <c r="CJ65"/>
      <c r="CK65"/>
      <c r="CL65"/>
      <c r="CM65"/>
      <c r="CN65"/>
      <c r="CO65"/>
      <c r="CP65"/>
      <c r="CQ65"/>
      <c r="CR65"/>
      <c r="CS65"/>
      <c r="CT65"/>
      <c r="CU65"/>
      <c r="CV65"/>
      <c r="CW65"/>
      <c r="CX65"/>
      <c r="CY65"/>
      <c r="CZ65"/>
      <c r="DA65"/>
      <c r="DB65"/>
      <c r="DC65"/>
      <c r="DD65"/>
      <c r="DE65"/>
      <c r="DF65"/>
      <c r="DG65"/>
      <c r="DH65"/>
      <c r="DI65"/>
      <c r="DJ65"/>
      <c r="DK65"/>
      <c r="DL65"/>
      <c r="DM65"/>
      <c r="DN65"/>
      <c r="DO65"/>
      <c r="DP65"/>
      <c r="DQ65"/>
    </row>
    <row r="66" spans="1:121" s="3" customFormat="1" ht="30" customHeight="1" thickBot="1" x14ac:dyDescent="0.3">
      <c r="A66" s="30"/>
      <c r="B66" s="68"/>
      <c r="C66" s="64"/>
      <c r="D66" s="65"/>
      <c r="E66" s="69"/>
      <c r="F66" s="69"/>
      <c r="G66" s="14"/>
      <c r="H66" s="14" t="str">
        <f t="shared" si="17"/>
        <v/>
      </c>
      <c r="I66" s="26"/>
      <c r="J66" s="26"/>
      <c r="K66" s="26"/>
      <c r="L66" s="26"/>
      <c r="M66" s="26"/>
      <c r="N66" s="26"/>
      <c r="O66" s="26"/>
      <c r="P66" s="26"/>
      <c r="Q66" s="26"/>
      <c r="R66" s="26"/>
      <c r="S66" s="26"/>
      <c r="T66" s="26"/>
      <c r="U66" s="26"/>
      <c r="V66" s="26"/>
      <c r="W66" s="26"/>
      <c r="X66" s="26"/>
      <c r="Y66" s="26"/>
      <c r="Z66" s="26"/>
      <c r="AA66" s="26"/>
      <c r="AB66" s="26"/>
      <c r="AC66" s="26"/>
      <c r="AD66" s="26"/>
      <c r="AE66" s="26"/>
      <c r="AF66" s="26"/>
      <c r="AG66" s="26"/>
      <c r="AH66" s="26"/>
      <c r="AI66" s="26"/>
      <c r="AJ66" s="26"/>
      <c r="AK66" s="26"/>
      <c r="AL66" s="26"/>
      <c r="AM66" s="26"/>
      <c r="AN66" s="26"/>
      <c r="AO66" s="26"/>
      <c r="AP66" s="26"/>
      <c r="AQ66" s="26"/>
      <c r="AR66" s="26"/>
      <c r="AS66" s="26"/>
      <c r="AT66" s="26"/>
      <c r="AU66" s="26"/>
      <c r="AV66" s="26"/>
      <c r="AW66" s="26"/>
      <c r="AX66" s="26"/>
      <c r="AY66" s="26"/>
      <c r="AZ66" s="26"/>
      <c r="BA66" s="26"/>
      <c r="BB66" s="26"/>
      <c r="BC66" s="26"/>
      <c r="BD66" s="26"/>
      <c r="BE66" s="26"/>
      <c r="BF66" s="26"/>
      <c r="BG66" s="26"/>
      <c r="BH66" s="26"/>
      <c r="BI66" s="26"/>
      <c r="BJ66" s="26"/>
      <c r="BK66" s="26"/>
      <c r="BL66" s="26"/>
      <c r="BM66" s="26"/>
      <c r="BN66" s="26"/>
      <c r="BO66" s="26"/>
      <c r="BP66" s="26"/>
      <c r="BQ66" s="26"/>
      <c r="BR66" s="26"/>
      <c r="BS66" s="26"/>
      <c r="BT66" s="26"/>
      <c r="BU66" s="26"/>
      <c r="BV66" s="26"/>
      <c r="BW66" s="26"/>
      <c r="BX66" s="26"/>
      <c r="BY66" s="26"/>
      <c r="BZ66" s="26"/>
      <c r="CA66" s="26"/>
      <c r="CB66" s="26"/>
      <c r="CC66" s="26"/>
      <c r="CD66" s="26"/>
      <c r="CE66" s="26"/>
      <c r="CF66" s="26"/>
      <c r="CG66" s="26"/>
      <c r="CH66"/>
      <c r="CI66"/>
      <c r="CJ66"/>
      <c r="CK66"/>
      <c r="CL66"/>
      <c r="CM66"/>
      <c r="CN66"/>
      <c r="CO66"/>
      <c r="CP66"/>
      <c r="CQ66"/>
      <c r="CR66"/>
      <c r="CS66"/>
      <c r="CT66"/>
      <c r="CU66"/>
      <c r="CV66"/>
      <c r="CW66"/>
      <c r="CX66"/>
      <c r="CY66"/>
      <c r="CZ66"/>
      <c r="DA66"/>
      <c r="DB66"/>
      <c r="DC66"/>
      <c r="DD66"/>
      <c r="DE66"/>
      <c r="DF66"/>
      <c r="DG66"/>
      <c r="DH66"/>
      <c r="DI66"/>
      <c r="DJ66"/>
      <c r="DK66"/>
      <c r="DL66"/>
      <c r="DM66"/>
      <c r="DN66"/>
      <c r="DO66"/>
      <c r="DP66"/>
      <c r="DQ66"/>
    </row>
    <row r="67" spans="1:121" s="3" customFormat="1" ht="30" customHeight="1" thickBot="1" x14ac:dyDescent="0.3">
      <c r="A67" s="30"/>
      <c r="B67" s="68"/>
      <c r="C67" s="64"/>
      <c r="D67" s="65"/>
      <c r="E67" s="69"/>
      <c r="F67" s="69"/>
      <c r="G67" s="14"/>
      <c r="H67" s="14" t="str">
        <f t="shared" si="17"/>
        <v/>
      </c>
      <c r="I67" s="26"/>
      <c r="J67" s="26"/>
      <c r="K67" s="26"/>
      <c r="L67" s="26"/>
      <c r="M67" s="26"/>
      <c r="N67" s="26"/>
      <c r="O67" s="26"/>
      <c r="P67" s="26"/>
      <c r="Q67" s="26"/>
      <c r="R67" s="26"/>
      <c r="S67" s="26"/>
      <c r="T67" s="26"/>
      <c r="U67" s="26"/>
      <c r="V67" s="26"/>
      <c r="W67" s="26"/>
      <c r="X67" s="26"/>
      <c r="Y67" s="26"/>
      <c r="Z67" s="26"/>
      <c r="AA67" s="26"/>
      <c r="AB67" s="26"/>
      <c r="AC67" s="26"/>
      <c r="AD67" s="26"/>
      <c r="AE67" s="26"/>
      <c r="AF67" s="26"/>
      <c r="AG67" s="26"/>
      <c r="AH67" s="26"/>
      <c r="AI67" s="26"/>
      <c r="AJ67" s="26"/>
      <c r="AK67" s="26"/>
      <c r="AL67" s="26"/>
      <c r="AM67" s="26"/>
      <c r="AN67" s="26"/>
      <c r="AO67" s="26"/>
      <c r="AP67" s="26"/>
      <c r="AQ67" s="26"/>
      <c r="AR67" s="26"/>
      <c r="AS67" s="26"/>
      <c r="AT67" s="26"/>
      <c r="AU67" s="26"/>
      <c r="AV67" s="26"/>
      <c r="AW67" s="26"/>
      <c r="AX67" s="26"/>
      <c r="AY67" s="26"/>
      <c r="AZ67" s="26"/>
      <c r="BA67" s="26"/>
      <c r="BB67" s="26"/>
      <c r="BC67" s="26"/>
      <c r="BD67" s="26"/>
      <c r="BE67" s="26"/>
      <c r="BF67" s="26"/>
      <c r="BG67" s="26"/>
      <c r="BH67" s="26"/>
      <c r="BI67" s="26"/>
      <c r="BJ67" s="26"/>
      <c r="BK67" s="26"/>
      <c r="BL67" s="26"/>
      <c r="BM67" s="26"/>
      <c r="BN67" s="26"/>
      <c r="BO67" s="26"/>
      <c r="BP67" s="26"/>
      <c r="BQ67" s="26"/>
      <c r="BR67" s="26"/>
      <c r="BS67" s="26"/>
      <c r="BT67" s="26"/>
      <c r="BU67" s="26"/>
      <c r="BV67" s="26"/>
      <c r="BW67" s="26"/>
      <c r="BX67" s="26"/>
      <c r="BY67" s="26"/>
      <c r="BZ67" s="26"/>
      <c r="CA67" s="26"/>
      <c r="CB67" s="26"/>
      <c r="CC67" s="26"/>
      <c r="CD67" s="26"/>
      <c r="CE67" s="26"/>
      <c r="CF67" s="26"/>
      <c r="CG67" s="26"/>
      <c r="CH67"/>
      <c r="CI67"/>
      <c r="CJ67"/>
      <c r="CK67"/>
      <c r="CL67"/>
      <c r="CM67"/>
      <c r="CN67"/>
      <c r="CO67"/>
      <c r="CP67"/>
      <c r="CQ67"/>
      <c r="CR67"/>
      <c r="CS67"/>
      <c r="CT67"/>
      <c r="CU67"/>
      <c r="CV67"/>
      <c r="CW67"/>
      <c r="CX67"/>
      <c r="CY67"/>
      <c r="CZ67"/>
      <c r="DA67"/>
      <c r="DB67"/>
      <c r="DC67"/>
      <c r="DD67"/>
      <c r="DE67"/>
      <c r="DF67"/>
      <c r="DG67"/>
      <c r="DH67"/>
      <c r="DI67"/>
      <c r="DJ67"/>
      <c r="DK67"/>
      <c r="DL67"/>
      <c r="DM67"/>
      <c r="DN67"/>
      <c r="DO67"/>
      <c r="DP67"/>
      <c r="DQ67"/>
    </row>
    <row r="68" spans="1:121" s="3" customFormat="1" ht="30" customHeight="1" thickBot="1" x14ac:dyDescent="0.3">
      <c r="A68" s="30" t="s">
        <v>9</v>
      </c>
      <c r="B68" s="43"/>
      <c r="C68" s="41"/>
      <c r="D68" s="13"/>
      <c r="E68" s="55"/>
      <c r="F68" s="55"/>
      <c r="G68" s="14"/>
      <c r="H68" s="14" t="str">
        <f t="shared" si="17"/>
        <v/>
      </c>
      <c r="I68" s="26"/>
      <c r="J68" s="26"/>
      <c r="K68" s="26"/>
      <c r="L68" s="26"/>
      <c r="M68" s="26"/>
      <c r="N68" s="26"/>
      <c r="O68" s="26"/>
      <c r="P68" s="26"/>
      <c r="Q68" s="26"/>
      <c r="R68" s="26"/>
      <c r="S68" s="26"/>
      <c r="T68" s="26"/>
      <c r="U68" s="26"/>
      <c r="V68" s="26"/>
      <c r="W68" s="26"/>
      <c r="X68" s="26"/>
      <c r="Y68" s="26"/>
      <c r="Z68" s="26"/>
      <c r="AA68" s="26"/>
      <c r="AB68" s="26"/>
      <c r="AC68" s="26"/>
      <c r="AD68" s="26"/>
      <c r="AE68" s="26"/>
      <c r="AF68" s="26"/>
      <c r="AG68" s="26"/>
      <c r="AH68" s="26"/>
      <c r="AI68" s="26"/>
      <c r="AJ68" s="26"/>
      <c r="AK68" s="26"/>
      <c r="AL68" s="26"/>
      <c r="AM68" s="26"/>
      <c r="AN68" s="26"/>
      <c r="AO68" s="26"/>
      <c r="AP68" s="26"/>
      <c r="AQ68" s="26"/>
      <c r="AR68" s="26"/>
      <c r="AS68" s="26"/>
      <c r="AT68" s="26"/>
      <c r="AU68" s="26"/>
      <c r="AV68" s="26"/>
      <c r="AW68" s="26"/>
      <c r="AX68" s="26"/>
      <c r="AY68" s="26"/>
      <c r="AZ68" s="26"/>
      <c r="BA68" s="26"/>
      <c r="BB68" s="26"/>
      <c r="BC68" s="26"/>
      <c r="BD68" s="26"/>
      <c r="BE68" s="26"/>
      <c r="BF68" s="26"/>
      <c r="BG68" s="26"/>
      <c r="BH68" s="26"/>
      <c r="BI68" s="26"/>
      <c r="BJ68" s="26"/>
      <c r="BK68" s="26"/>
      <c r="BL68" s="26"/>
      <c r="CH68"/>
      <c r="CI68"/>
      <c r="CJ68"/>
      <c r="CK68"/>
      <c r="CL68"/>
      <c r="CM68"/>
      <c r="CN68"/>
      <c r="CO68"/>
      <c r="CP68"/>
      <c r="CQ68"/>
      <c r="CR68"/>
      <c r="CS68"/>
      <c r="CT68"/>
      <c r="CU68"/>
      <c r="CV68"/>
      <c r="CW68"/>
      <c r="CX68"/>
      <c r="CY68"/>
      <c r="CZ68"/>
      <c r="DA68"/>
      <c r="DB68"/>
      <c r="DC68"/>
      <c r="DD68"/>
      <c r="DE68"/>
      <c r="DF68"/>
      <c r="DG68"/>
      <c r="DH68"/>
      <c r="DI68"/>
      <c r="DJ68"/>
      <c r="DK68"/>
      <c r="DL68"/>
      <c r="DM68"/>
      <c r="DN68"/>
      <c r="DO68"/>
      <c r="DP68"/>
      <c r="DQ68"/>
    </row>
    <row r="69" spans="1:121" s="3" customFormat="1" ht="30" customHeight="1" thickBot="1" x14ac:dyDescent="0.3">
      <c r="A69" s="31"/>
      <c r="B69" s="22"/>
      <c r="C69" s="23"/>
      <c r="D69" s="24"/>
      <c r="E69" s="50"/>
      <c r="F69" s="51"/>
      <c r="G69" s="25"/>
      <c r="H69" s="25"/>
      <c r="I69" s="28"/>
      <c r="J69" s="28"/>
      <c r="K69" s="28"/>
      <c r="L69" s="28"/>
      <c r="M69" s="28"/>
      <c r="N69" s="28"/>
      <c r="O69" s="28"/>
      <c r="P69" s="28"/>
      <c r="Q69" s="28"/>
      <c r="R69" s="28"/>
      <c r="S69" s="28"/>
      <c r="T69" s="28"/>
      <c r="U69" s="28"/>
      <c r="V69" s="28"/>
      <c r="W69" s="28"/>
      <c r="X69" s="28"/>
      <c r="Y69" s="28"/>
      <c r="Z69" s="28"/>
      <c r="AA69" s="28"/>
      <c r="AB69" s="28"/>
      <c r="AC69" s="28"/>
      <c r="AD69" s="28"/>
      <c r="AE69" s="28"/>
      <c r="AF69" s="28"/>
      <c r="AG69" s="28"/>
      <c r="AH69" s="28"/>
      <c r="AI69" s="28"/>
      <c r="AJ69" s="28"/>
      <c r="AK69" s="28"/>
      <c r="AL69" s="28"/>
      <c r="AM69" s="28"/>
      <c r="AN69" s="28"/>
      <c r="AO69" s="28"/>
      <c r="AP69" s="28"/>
      <c r="AQ69" s="28"/>
      <c r="AR69" s="28"/>
      <c r="AS69" s="28"/>
      <c r="AT69" s="28"/>
      <c r="AU69" s="28"/>
      <c r="AV69" s="28"/>
      <c r="AW69" s="28"/>
      <c r="AX69" s="28"/>
      <c r="AY69" s="28"/>
      <c r="AZ69" s="28"/>
      <c r="BA69" s="28"/>
      <c r="BB69" s="28"/>
      <c r="BC69" s="28"/>
      <c r="BD69" s="28"/>
      <c r="BE69" s="28"/>
      <c r="BF69" s="28"/>
      <c r="BG69" s="28"/>
      <c r="BH69" s="28"/>
      <c r="BI69" s="28"/>
      <c r="BJ69" s="28"/>
      <c r="BK69" s="28"/>
      <c r="BL69" s="28"/>
      <c r="CH69"/>
      <c r="CI69"/>
      <c r="CJ69"/>
      <c r="CK69"/>
      <c r="CL69"/>
      <c r="CM69"/>
      <c r="CN69"/>
      <c r="CO69"/>
      <c r="CP69"/>
      <c r="CQ69"/>
      <c r="CR69"/>
      <c r="CS69"/>
      <c r="CT69"/>
      <c r="CU69"/>
      <c r="CV69"/>
      <c r="CW69"/>
      <c r="CX69"/>
      <c r="CY69"/>
      <c r="CZ69"/>
      <c r="DA69"/>
      <c r="DB69"/>
      <c r="DC69"/>
      <c r="DD69"/>
      <c r="DE69"/>
      <c r="DF69"/>
      <c r="DG69"/>
      <c r="DH69"/>
      <c r="DI69"/>
      <c r="DJ69"/>
      <c r="DK69"/>
      <c r="DL69"/>
      <c r="DM69"/>
      <c r="DN69"/>
      <c r="DO69"/>
      <c r="DP69"/>
      <c r="DQ69"/>
    </row>
    <row r="70" spans="1:121" ht="30" customHeight="1" x14ac:dyDescent="0.25">
      <c r="G70" s="6"/>
    </row>
    <row r="71" spans="1:121" ht="30" customHeight="1" x14ac:dyDescent="0.25">
      <c r="C71" s="11"/>
      <c r="F71" s="32"/>
    </row>
    <row r="72" spans="1:121" ht="30" customHeight="1" x14ac:dyDescent="0.25">
      <c r="C72" s="12"/>
    </row>
  </sheetData>
  <mergeCells count="21">
    <mergeCell ref="I7:CG7"/>
    <mergeCell ref="I32:CG32"/>
    <mergeCell ref="I55:CG55"/>
    <mergeCell ref="BS3:BW3"/>
    <mergeCell ref="BX3:CB3"/>
    <mergeCell ref="CC3:CG3"/>
    <mergeCell ref="BD3:BH3"/>
    <mergeCell ref="BI3:BM3"/>
    <mergeCell ref="BN3:BR3"/>
    <mergeCell ref="AE3:AI3"/>
    <mergeCell ref="AJ3:AN3"/>
    <mergeCell ref="AO3:AS3"/>
    <mergeCell ref="AT3:AX3"/>
    <mergeCell ref="AY3:BC3"/>
    <mergeCell ref="C2:D2"/>
    <mergeCell ref="C3:D3"/>
    <mergeCell ref="P3:T3"/>
    <mergeCell ref="U3:Y3"/>
    <mergeCell ref="Z3:AD3"/>
    <mergeCell ref="E2:F2"/>
    <mergeCell ref="I3:O3"/>
  </mergeCells>
  <conditionalFormatting sqref="D6:D69">
    <cfRule type="dataBar" priority="17">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4:DP6 I7 CH7:DP7 I8:DP31 I32 CH32:DP33 I33:CG33 I34:DP54 I55 CH55:DP55 BM56:DP67 I56:BL69">
    <cfRule type="expression" dxfId="2" priority="36">
      <formula>AND(TODAY()&gt;=I$4,TODAY()&lt;J$4)</formula>
    </cfRule>
  </conditionalFormatting>
  <conditionalFormatting sqref="I6:DP6 I7 CH7:DP7 I8:DP31 I32 CH32:DP33 I33:CG33 I34:DP54 I55 CH55:DP55 BM56:DP67 I56:BL69">
    <cfRule type="expression" dxfId="1" priority="30">
      <formula>AND(task_start&lt;=I$4,ROUNDDOWN((task_end-task_start+1)*task_progress,0)+task_start-1&gt;=I$4)</formula>
    </cfRule>
    <cfRule type="expression" dxfId="0" priority="31" stopIfTrue="1">
      <formula>AND(task_end&gt;=I$4,task_start&lt;J$4)</formula>
    </cfRule>
  </conditionalFormatting>
  <dataValidations disablePrompts="1" count="1">
    <dataValidation type="whole" operator="greaterThanOrEqual" allowBlank="1" showInputMessage="1" promptTitle="Mostrar semana" prompt="Al cambiar este número, se desplazará la vista del diagrama de Gantt." sqref="E3" xr:uid="{00000000-0002-0000-0000-000000000000}">
      <formula1>1</formula1>
    </dataValidation>
  </dataValidations>
  <printOptions horizontalCentered="1"/>
  <pageMargins left="0.35" right="0.35" top="0.35" bottom="0.5" header="0.3" footer="0.3"/>
  <pageSetup paperSize="9" scale="50" fitToHeight="0" orientation="landscape" r:id="rId1"/>
  <headerFooter differentFirst="1" scaleWithDoc="0">
    <oddFooter>Page &amp;P of &amp;N</oddFooter>
  </headerFooter>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D6:D69</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9F111ED35F8CC479449609E8A0923A6" ma:contentTypeVersion="24" ma:contentTypeDescription="Create a new document." ma:contentTypeScope="" ma:versionID="2d714a3296df14eba7a100bb665443ca">
  <xsd:schema xmlns:xsd="http://www.w3.org/2001/XMLSchema" xmlns:xs="http://www.w3.org/2001/XMLSchema" xmlns:p="http://schemas.microsoft.com/office/2006/metadata/properties" xmlns:ns1="http://schemas.microsoft.com/sharepoint/v3" xmlns:ns2="71af3243-3dd4-4a8d-8c0d-dd76da1f02a5" xmlns:ns3="16c05727-aa75-4e4a-9b5f-8a80a1165891" xmlns:ns4="230e9df3-be65-4c73-a93b-d1236ebd677e" targetNamespace="http://schemas.microsoft.com/office/2006/metadata/properties" ma:root="true" ma:fieldsID="49549bf45bfbbfb6cffed527380e77e1" ns1:_="" ns2:_="" ns3:_="" ns4:_="">
    <xsd:import namespace="http://schemas.microsoft.com/sharepoint/v3"/>
    <xsd:import namespace="71af3243-3dd4-4a8d-8c0d-dd76da1f02a5"/>
    <xsd:import namespace="16c05727-aa75-4e4a-9b5f-8a80a1165891"/>
    <xsd:import namespace="230e9df3-be65-4c73-a93b-d1236ebd677e"/>
    <xsd:element name="properties">
      <xsd:complexType>
        <xsd:sequence>
          <xsd:element name="documentManagement">
            <xsd:complexType>
              <xsd:all>
                <xsd:element ref="ns2:Status" minOccurs="0"/>
                <xsd:element ref="ns2:Image" minOccurs="0"/>
                <xsd:element ref="ns2:MediaServiceMetadata" minOccurs="0"/>
                <xsd:element ref="ns2:MediaServiceFastMetadata" minOccurs="0"/>
                <xsd:element ref="ns2:MediaServiceOCR" minOccurs="0"/>
                <xsd:element ref="ns2:MediaServiceAutoTags" minOccurs="0"/>
                <xsd:element ref="ns2:MediaServiceEventHashCode" minOccurs="0"/>
                <xsd:element ref="ns2:MediaServiceGenerationTime" minOccurs="0"/>
                <xsd:element ref="ns3:SharedWithUsers" minOccurs="0"/>
                <xsd:element ref="ns3:SharedWithDetails" minOccurs="0"/>
                <xsd:element ref="ns2:MediaServiceAutoKeyPoints" minOccurs="0"/>
                <xsd:element ref="ns2:MediaServiceKeyPoints" minOccurs="0"/>
                <xsd:element ref="ns2:MediaServiceDateTaken" minOccurs="0"/>
                <xsd:element ref="ns1:_ip_UnifiedCompliancePolicyProperties" minOccurs="0"/>
                <xsd:element ref="ns1:_ip_UnifiedCompliancePolicyUIAction" minOccurs="0"/>
                <xsd:element ref="ns4:TaxCatchAll" minOccurs="0"/>
                <xsd:element ref="ns2:ImageTagsTaxHTField" minOccurs="0"/>
                <xsd:element ref="ns2:MediaServiceLocation" minOccurs="0"/>
                <xsd:element ref="ns2:MediaLengthInSeconds" minOccurs="0"/>
                <xsd:element ref="ns2:Backgroun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ma:readOnly="false">
      <xsd:simpleType>
        <xsd:restriction base="dms:Note"/>
      </xsd:simpleType>
    </xsd:element>
    <xsd:element name="_ip_UnifiedCompliancePolicyUIAction" ma:index="21" nillable="true" ma:displayName="Unified Compliance Policy UI Action" ma:hidden="true" ma:internalName="_ip_UnifiedCompliancePolicyUIAction" ma:readOnly="fals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71af3243-3dd4-4a8d-8c0d-dd76da1f02a5" elementFormDefault="qualified">
    <xsd:import namespace="http://schemas.microsoft.com/office/2006/documentManagement/types"/>
    <xsd:import namespace="http://schemas.microsoft.com/office/infopath/2007/PartnerControls"/>
    <xsd:element name="Status" ma:index="2" nillable="true" ma:displayName="Status" ma:default="Not started" ma:format="Dropdown" ma:internalName="Status" ma:readOnly="false">
      <xsd:simpleType>
        <xsd:restriction base="dms:Choice">
          <xsd:enumeration value="Not started"/>
          <xsd:enumeration value="In Progress"/>
          <xsd:enumeration value="Completed"/>
        </xsd:restriction>
      </xsd:simpleType>
    </xsd:element>
    <xsd:element name="Image" ma:index="3" nillable="true" ma:displayName="Image" ma:format="Image" ma:internalName="Image"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CR" ma:index="10" nillable="true" ma:displayName="MediaServiceOCR" ma:hidden="true" ma:internalName="MediaServiceOCR" ma:readOnly="true">
      <xsd:simpleType>
        <xsd:restriction base="dms:Note"/>
      </xsd:simpleType>
    </xsd:element>
    <xsd:element name="MediaServiceAutoTags" ma:index="11" nillable="true" ma:displayName="MediaServiceAutoTags" ma:hidden="true" ma:internalName="MediaServiceAutoTags" ma:readOnly="true">
      <xsd:simpleType>
        <xsd:restriction base="dms:Text"/>
      </xsd:simpleType>
    </xsd:element>
    <xsd:element name="MediaServiceEventHashCode" ma:index="12" nillable="true" ma:displayName="MediaServiceEventHashCode" ma:hidden="true" ma:internalName="MediaServiceEventHashCode"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hidden="true" ma:internalName="MediaServiceKeyPoints" ma:readOnly="false">
      <xsd:simpleType>
        <xsd:restriction base="dms:Note"/>
      </xsd:simpleType>
    </xsd:element>
    <xsd:element name="MediaServiceDateTaken" ma:index="18" nillable="true" ma:displayName="MediaServiceDateTaken" ma:hidden="true" ma:internalName="MediaServiceDateTaken" ma:readOnly="true">
      <xsd:simpleType>
        <xsd:restriction base="dms:Text"/>
      </xsd:simpleType>
    </xsd:element>
    <xsd:element name="ImageTagsTaxHTField" ma:index="25" nillable="true" ma:taxonomy="true" ma:internalName="ImageTagsTaxHTField" ma:taxonomyFieldName="MediaServiceImageTags" ma:displayName="Image Tags" ma:readOnly="false" ma:fieldId="{5cf76f15-5ced-4ddc-b409-7134ff3c332f}" ma:taxonomyMulti="true" ma:sspId="e385fb40-52d4-4fae-9c5b-3e8ff8a5878e" ma:termSetId="09814cd3-568e-fe90-9814-8d621ff8fb84" ma:anchorId="fba54fb3-c3e1-fe81-a776-ca4b69148c4d" ma:open="true" ma:isKeyword="false">
      <xsd:complexType>
        <xsd:sequence>
          <xsd:element ref="pc:Terms" minOccurs="0" maxOccurs="1"/>
        </xsd:sequence>
      </xsd:complexType>
    </xsd:element>
    <xsd:element name="MediaServiceLocation" ma:index="26" nillable="true" ma:displayName="Location" ma:hidden="true" ma:internalName="MediaServiceLocation" ma:readOnly="true">
      <xsd:simpleType>
        <xsd:restriction base="dms:Text"/>
      </xsd:simpleType>
    </xsd:element>
    <xsd:element name="MediaLengthInSeconds" ma:index="27" nillable="true" ma:displayName="MediaLengthInSeconds" ma:hidden="true" ma:internalName="MediaLengthInSeconds" ma:readOnly="true">
      <xsd:simpleType>
        <xsd:restriction base="dms:Unknown"/>
      </xsd:simpleType>
    </xsd:element>
    <xsd:element name="Background" ma:index="28" nillable="true" ma:displayName="Background" ma:default="0" ma:format="Dropdown" ma:internalName="Background">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16c05727-aa75-4e4a-9b5f-8a80a1165891" elementFormDefault="qualified">
    <xsd:import namespace="http://schemas.microsoft.com/office/2006/documentManagement/types"/>
    <xsd:import namespace="http://schemas.microsoft.com/office/infopath/2007/PartnerControls"/>
    <xsd:element name="SharedWithUsers" ma:index="14" nillable="true" ma:displayName="Shared With" ma:hidden="true"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5" nillable="true" ma:displayName="Shared With Details" ma:hidden="true" ma:internalName="SharedWithDetail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30e9df3-be65-4c73-a93b-d1236ebd677e" elementFormDefault="qualified">
    <xsd:import namespace="http://schemas.microsoft.com/office/2006/documentManagement/types"/>
    <xsd:import namespace="http://schemas.microsoft.com/office/infopath/2007/PartnerControls"/>
    <xsd:element name="TaxCatchAll" ma:index="23" nillable="true" ma:displayName="Taxonomy Catch All Column" ma:hidden="true" ma:list="{3f6bfcbc-3db3-4ae6-bd76-326f0798ad28}" ma:internalName="TaxCatchAll" ma:readOnly="false" ma:showField="CatchAllData" ma:web="16c05727-aa75-4e4a-9b5f-8a80a116589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displayName="Content Type"/>
        <xsd:element ref="dc:title" minOccurs="0" maxOccurs="1" ma:index="1"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ip_UnifiedCompliancePolicyUIAction xmlns="http://schemas.microsoft.com/sharepoint/v3" xsi:nil="true"/>
    <Image xmlns="71af3243-3dd4-4a8d-8c0d-dd76da1f02a5">
      <Url xsi:nil="true"/>
      <Description xsi:nil="true"/>
    </Image>
    <Status xmlns="71af3243-3dd4-4a8d-8c0d-dd76da1f02a5">Not started</Status>
    <Background xmlns="71af3243-3dd4-4a8d-8c0d-dd76da1f02a5">false</Background>
    <_ip_UnifiedCompliancePolicyProperties xmlns="http://schemas.microsoft.com/sharepoint/v3" xsi:nil="true"/>
    <ImageTagsTaxHTField xmlns="71af3243-3dd4-4a8d-8c0d-dd76da1f02a5">
      <Terms xmlns="http://schemas.microsoft.com/office/infopath/2007/PartnerControls"/>
    </ImageTagsTaxHTField>
    <TaxCatchAll xmlns="230e9df3-be65-4c73-a93b-d1236ebd677e" xsi:nil="true"/>
    <MediaServiceKeyPoints xmlns="71af3243-3dd4-4a8d-8c0d-dd76da1f02a5" xsi:nil="true"/>
  </documentManagement>
</p:properties>
</file>

<file path=customXml/itemProps1.xml><?xml version="1.0" encoding="utf-8"?>
<ds:datastoreItem xmlns:ds="http://schemas.openxmlformats.org/officeDocument/2006/customXml" ds:itemID="{5F80F839-78EF-4FF4-A673-3CC84279C232}">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71af3243-3dd4-4a8d-8c0d-dd76da1f02a5"/>
    <ds:schemaRef ds:uri="16c05727-aa75-4e4a-9b5f-8a80a1165891"/>
    <ds:schemaRef ds:uri="230e9df3-be65-4c73-a93b-d1236ebd677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http://schemas.microsoft.com/sharepoint/v3"/>
    <ds:schemaRef ds:uri="71af3243-3dd4-4a8d-8c0d-dd76da1f02a5"/>
    <ds:schemaRef ds:uri="230e9df3-be65-4c73-a93b-d1236ebd677e"/>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Hojas de cálculo</vt:lpstr>
      </vt:variant>
      <vt:variant>
        <vt:i4>1</vt:i4>
      </vt:variant>
      <vt:variant>
        <vt:lpstr>Rangos con nombre</vt:lpstr>
      </vt:variant>
      <vt:variant>
        <vt:i4>6</vt:i4>
      </vt:variant>
    </vt:vector>
  </HeadingPairs>
  <TitlesOfParts>
    <vt:vector size="7" baseType="lpstr">
      <vt:lpstr>Carta Gatt</vt:lpstr>
      <vt:lpstr>Inicio_del_proyecto</vt:lpstr>
      <vt:lpstr>Semana_para_mostrar</vt:lpstr>
      <vt:lpstr>'Carta Gatt'!task_end</vt:lpstr>
      <vt:lpstr>'Carta Gatt'!task_progress</vt:lpstr>
      <vt:lpstr>'Carta Gatt'!task_start</vt:lpstr>
      <vt:lpstr>'Carta Gatt'!Títulos_a_imprimir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creator/>
  <dc:description/>
  <cp:lastModifiedBy/>
  <dcterms:created xsi:type="dcterms:W3CDTF">2021-12-14T20:18:50Z</dcterms:created>
  <dcterms:modified xsi:type="dcterms:W3CDTF">2025-09-12T12:20:49Z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0x01010079F111ED35F8CC479449609E8A0923A6</vt:lpwstr>
  </property>
</Properties>
</file>