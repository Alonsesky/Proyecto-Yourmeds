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5FB45FB6-84BD-48FA-A2B2-A812CF6F465F}"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<sst xmlns="http://schemas.openxmlformats.org/spreadsheetml/2006/main" count="42" uniqueCount="41">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</sst>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0" fillId="0" borderId="15" xfId="0" applyBorder="1" applyAlignment="1">
      <alignment vertical="center"/>
    </xf>
    <xf numFmtId="169" fontId="0" fillId="41" borderId="0" xfId="0" applyNumberFormat="1" applyFill="1" applyAlignment="1">
      <alignment vertical="center" wrapText="1"/>
    </xf>
    <xf numFmtId="171" fontId="9" fillId="41" borderId="0" xfId="0" applyNumberFormat="1" applyFont="1" applyFill="1" applyAlignment="1">
      <alignment horizontal="center" vertical="center"/>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xf numFmtId="0" fontId="7" fillId="2" borderId="2" xfId="12" applyFill="1" applyAlignment="1">
      <alignment horizontal="left" vertical="center"/>
    </xf>
    <xf numFmtId="169" fontId="0" fillId="5" borderId="22" xfId="0" applyNumberFormat="1" applyFill="1" applyBorder="1" applyAlignment="1">
      <alignment horizontal="center" vertical="center" wrapText="1"/>
    </xf>
    <xf numFmtId="169" fontId="0" fillId="5" borderId="23" xfId="0" applyNumberFormat="1" applyFill="1" applyBorder="1" applyAlignment="1">
      <alignment horizontal="center" vertical="center" wrapText="1"/>
    </xf>
    <xf numFmtId="0" fontId="0" fillId="42" borderId="26" xfId="0" applyFill="1" applyBorder="1" applyAlignment="1">
      <alignment horizontal="center" vertical="center"/>
    </xf>
    <xf numFmtId="0" fontId="0" fillId="42" borderId="16" xfId="0" applyFill="1" applyBorder="1"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zoomScale="70" zoomScaleNormal="70" zoomScalePageLayoutView="70" workbookViewId="0">
      <pane ySplit="5" topLeftCell="A10" activePane="bottomLeft" state="frozen"/>
      <selection pane="bottomLeft" activeCell="D16" sqref="D16"/>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93" t="s">
        <v>11</v>
      </c>
      <c r="D2" s="94"/>
      <c r="E2" s="97">
        <f>DATE(2025,8,12)</f>
        <v>45881</v>
      </c>
      <c r="F2" s="97"/>
    </row>
    <row r="3" spans="1:121" s="26" customFormat="1" ht="30" customHeight="1" x14ac:dyDescent="0.25">
      <c r="A3" s="24" t="s">
        <v>2</v>
      </c>
      <c r="C3" s="95" t="s">
        <v>12</v>
      </c>
      <c r="D3" s="96"/>
      <c r="E3" s="61">
        <v>1</v>
      </c>
      <c r="H3" s="62"/>
      <c r="I3" s="99">
        <f>I4</f>
        <v>45880</v>
      </c>
      <c r="J3" s="99"/>
      <c r="K3" s="99"/>
      <c r="L3" s="99"/>
      <c r="M3" s="99"/>
      <c r="N3" s="99">
        <f>N4</f>
        <v>45887</v>
      </c>
      <c r="O3" s="99"/>
      <c r="P3" s="99"/>
      <c r="Q3" s="99"/>
      <c r="R3" s="99"/>
      <c r="S3" s="99">
        <f>S4</f>
        <v>45894</v>
      </c>
      <c r="T3" s="99"/>
      <c r="U3" s="99"/>
      <c r="V3" s="99"/>
      <c r="W3" s="99"/>
      <c r="X3" s="99">
        <f>X4</f>
        <v>45901</v>
      </c>
      <c r="Y3" s="99"/>
      <c r="Z3" s="99"/>
      <c r="AA3" s="99"/>
      <c r="AB3" s="99"/>
      <c r="AC3" s="99">
        <f t="shared" ref="AC3" si="0">AC4</f>
        <v>45908</v>
      </c>
      <c r="AD3" s="99"/>
      <c r="AE3" s="99"/>
      <c r="AF3" s="99"/>
      <c r="AG3" s="99"/>
      <c r="AH3" s="99">
        <f t="shared" ref="AH3" si="1">AH4</f>
        <v>45915</v>
      </c>
      <c r="AI3" s="99"/>
      <c r="AJ3" s="99"/>
      <c r="AK3" s="99"/>
      <c r="AL3" s="99"/>
      <c r="AM3" s="99">
        <f t="shared" ref="AM3" si="2">AM4</f>
        <v>45922</v>
      </c>
      <c r="AN3" s="99"/>
      <c r="AO3" s="99"/>
      <c r="AP3" s="99"/>
      <c r="AQ3" s="99"/>
      <c r="AR3" s="99">
        <f>AR4</f>
        <v>45929</v>
      </c>
      <c r="AS3" s="99"/>
      <c r="AT3" s="99"/>
      <c r="AU3" s="99"/>
      <c r="AV3" s="99"/>
      <c r="AW3" s="99">
        <f t="shared" ref="AW3" si="3">AW4</f>
        <v>45936</v>
      </c>
      <c r="AX3" s="99"/>
      <c r="AY3" s="99"/>
      <c r="AZ3" s="99"/>
      <c r="BA3" s="99"/>
      <c r="BB3" s="99">
        <f t="shared" ref="BB3" si="4">BB4</f>
        <v>45943</v>
      </c>
      <c r="BC3" s="99"/>
      <c r="BD3" s="99"/>
      <c r="BE3" s="99"/>
      <c r="BF3" s="99"/>
      <c r="BG3" s="99">
        <f t="shared" ref="BG3" si="5">BG4</f>
        <v>45950</v>
      </c>
      <c r="BH3" s="99"/>
      <c r="BI3" s="99"/>
      <c r="BJ3" s="99"/>
      <c r="BK3" s="99"/>
      <c r="BL3" s="99">
        <f t="shared" ref="BL3" si="6">BL4</f>
        <v>45957</v>
      </c>
      <c r="BM3" s="99"/>
      <c r="BN3" s="99"/>
      <c r="BO3" s="99"/>
      <c r="BP3" s="99"/>
      <c r="BQ3" s="99">
        <f t="shared" ref="BQ3" si="7">BQ4</f>
        <v>45964</v>
      </c>
      <c r="BR3" s="99"/>
      <c r="BS3" s="99"/>
      <c r="BT3" s="99"/>
      <c r="BU3" s="99"/>
      <c r="BV3" s="99">
        <f t="shared" ref="BV3" si="8">BV4</f>
        <v>45971</v>
      </c>
      <c r="BW3" s="99"/>
      <c r="BX3" s="99"/>
      <c r="BY3" s="99"/>
      <c r="BZ3" s="99"/>
      <c r="CA3" s="99">
        <f t="shared" ref="CA3" si="9">CA4</f>
        <v>45978</v>
      </c>
      <c r="CB3" s="99"/>
      <c r="CC3" s="99"/>
      <c r="CD3" s="99"/>
      <c r="CE3" s="99"/>
      <c r="CF3" s="99">
        <f t="shared" ref="CF3" si="10">CF4</f>
        <v>45985</v>
      </c>
      <c r="CG3" s="99"/>
      <c r="CH3" s="99"/>
      <c r="CI3" s="99"/>
      <c r="CJ3" s="99"/>
      <c r="CK3" s="99">
        <f t="shared" ref="CK3" si="11">CK4</f>
        <v>45992</v>
      </c>
      <c r="CL3" s="99"/>
      <c r="CM3" s="99"/>
      <c r="CN3" s="99"/>
      <c r="CO3" s="100"/>
      <c r="CP3" s="84"/>
      <c r="CQ3" s="74"/>
      <c r="CR3" s="74"/>
      <c r="CS3" s="74"/>
      <c r="CT3" s="74"/>
      <c r="CU3" s="74"/>
      <c r="CV3" s="74"/>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85"/>
      <c r="CQ4" s="75"/>
      <c r="CR4" s="75"/>
      <c r="CS4" s="75"/>
      <c r="CT4" s="75"/>
      <c r="CU4" s="75"/>
      <c r="CV4" s="75"/>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82" t="str">
        <f t="shared" si="24"/>
        <v>v</v>
      </c>
      <c r="CP5" s="86"/>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86"/>
    </row>
    <row r="7" spans="1:121" s="79" customFormat="1" ht="30" customHeight="1" thickBot="1" x14ac:dyDescent="0.3">
      <c r="A7" s="53"/>
      <c r="B7" s="54" t="s">
        <v>19</v>
      </c>
      <c r="C7" s="55"/>
      <c r="D7" s="56"/>
      <c r="E7" s="57"/>
      <c r="F7" s="58"/>
      <c r="G7" s="59"/>
      <c r="H7" s="59" t="str">
        <f t="shared" ref="H7:H28" si="25">IF(OR(ISBLANK(task_start),ISBLANK(task_end)),"",task_end-task_start+1)</f>
        <v/>
      </c>
      <c r="I7" s="101"/>
      <c r="J7" s="102"/>
      <c r="K7" s="102"/>
      <c r="L7" s="102"/>
      <c r="M7" s="102"/>
      <c r="N7" s="102"/>
      <c r="O7" s="102"/>
      <c r="P7" s="102"/>
      <c r="Q7" s="102"/>
      <c r="R7" s="102"/>
      <c r="S7" s="102"/>
      <c r="T7" s="102"/>
      <c r="U7" s="102"/>
      <c r="V7" s="102"/>
      <c r="W7" s="102"/>
      <c r="X7" s="102"/>
      <c r="Y7" s="102"/>
      <c r="Z7" s="102"/>
      <c r="AA7" s="102"/>
      <c r="AB7" s="102"/>
      <c r="AC7" s="102"/>
      <c r="AD7" s="102"/>
      <c r="AE7" s="102"/>
      <c r="AF7" s="102"/>
      <c r="AG7" s="102"/>
      <c r="AH7" s="102"/>
      <c r="AI7" s="102"/>
      <c r="AJ7" s="102"/>
      <c r="AK7" s="102"/>
      <c r="AL7" s="102"/>
      <c r="AM7" s="102"/>
      <c r="AN7" s="102"/>
      <c r="AO7" s="102"/>
      <c r="AP7" s="102"/>
      <c r="AQ7" s="102"/>
      <c r="AR7" s="102"/>
      <c r="AS7" s="102"/>
      <c r="AT7" s="102"/>
      <c r="AU7" s="102"/>
      <c r="AV7" s="102"/>
      <c r="AW7" s="102"/>
      <c r="AX7" s="102"/>
      <c r="AY7" s="102"/>
      <c r="AZ7" s="102"/>
      <c r="BA7" s="102"/>
      <c r="BB7" s="102"/>
      <c r="BC7" s="102"/>
      <c r="BD7" s="102"/>
      <c r="BE7" s="102"/>
      <c r="BF7" s="102"/>
      <c r="BG7" s="102"/>
      <c r="BH7" s="102"/>
      <c r="BI7" s="102"/>
      <c r="BJ7" s="102"/>
      <c r="BK7" s="102"/>
      <c r="BL7" s="102"/>
      <c r="BM7" s="102"/>
      <c r="BN7" s="102"/>
      <c r="BO7" s="102"/>
      <c r="BP7" s="102"/>
      <c r="BQ7" s="102"/>
      <c r="BR7" s="102"/>
      <c r="BS7" s="102"/>
      <c r="BT7" s="102"/>
      <c r="BU7" s="102"/>
      <c r="BV7" s="102"/>
      <c r="BW7" s="102"/>
      <c r="BX7" s="102"/>
      <c r="BY7" s="102"/>
      <c r="BZ7" s="102"/>
      <c r="CA7" s="102"/>
      <c r="CB7" s="102"/>
      <c r="CC7" s="102"/>
      <c r="CD7" s="102"/>
      <c r="CE7" s="102"/>
      <c r="CF7" s="102"/>
      <c r="CG7" s="102"/>
      <c r="CH7" s="102"/>
      <c r="CI7" s="102"/>
      <c r="CJ7" s="102"/>
      <c r="CK7" s="102"/>
      <c r="CL7" s="102"/>
      <c r="CM7" s="102"/>
      <c r="CN7" s="102"/>
      <c r="CO7" s="102"/>
      <c r="CP7" s="87"/>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24" t="s">
        <v>6</v>
      </c>
      <c r="B8" s="98" t="s">
        <v>29</v>
      </c>
      <c r="C8" s="98"/>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20"/>
      <c r="AD8" s="20"/>
      <c r="AE8" s="20"/>
      <c r="AF8" s="20"/>
      <c r="AG8" s="20"/>
      <c r="AH8" s="20"/>
      <c r="AI8" s="20"/>
      <c r="AJ8" s="20"/>
      <c r="AK8" s="80"/>
      <c r="AL8" s="80"/>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80"/>
      <c r="BQ8" s="43"/>
      <c r="BR8" s="43"/>
      <c r="BS8" s="43"/>
      <c r="BT8" s="43"/>
      <c r="BU8" s="43"/>
      <c r="BV8" s="43"/>
      <c r="BW8" s="43"/>
      <c r="BX8" s="43"/>
      <c r="BY8" s="44"/>
      <c r="BZ8" s="44"/>
      <c r="CA8" s="43"/>
      <c r="CB8" s="43"/>
      <c r="CC8" s="43"/>
      <c r="CD8" s="43"/>
      <c r="CE8" s="43"/>
      <c r="CF8" s="43"/>
      <c r="CG8" s="76"/>
      <c r="CH8" s="43"/>
      <c r="CI8" s="76"/>
      <c r="CJ8" s="76"/>
      <c r="CK8" s="76"/>
      <c r="CL8" s="76"/>
      <c r="CM8" s="76"/>
      <c r="CN8" s="76"/>
      <c r="CO8" s="76"/>
      <c r="CP8" s="86"/>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98" t="s">
        <v>30</v>
      </c>
      <c r="C9" s="98"/>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20"/>
      <c r="AD9" s="20"/>
      <c r="AE9" s="20"/>
      <c r="AF9" s="20"/>
      <c r="AG9" s="20"/>
      <c r="AH9" s="20"/>
      <c r="AI9" s="20"/>
      <c r="AJ9" s="20"/>
      <c r="AK9" s="80"/>
      <c r="AL9" s="80"/>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80"/>
      <c r="BQ9" s="43"/>
      <c r="BR9" s="43"/>
      <c r="BS9" s="43"/>
      <c r="BT9" s="43"/>
      <c r="BU9" s="43"/>
      <c r="BV9" s="43"/>
      <c r="BW9" s="43"/>
      <c r="BX9" s="43"/>
      <c r="BY9" s="44"/>
      <c r="BZ9" s="44"/>
      <c r="CA9" s="43"/>
      <c r="CB9" s="43"/>
      <c r="CC9" s="43"/>
      <c r="CD9" s="43"/>
      <c r="CE9" s="43"/>
      <c r="CF9" s="43"/>
      <c r="CG9" s="76"/>
      <c r="CH9" s="43"/>
      <c r="CI9" s="76"/>
      <c r="CJ9" s="76"/>
      <c r="CK9" s="76"/>
      <c r="CL9" s="76"/>
      <c r="CM9" s="76"/>
      <c r="CN9" s="76"/>
      <c r="CO9" s="76"/>
      <c r="CP9" s="86"/>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98" t="s">
        <v>31</v>
      </c>
      <c r="C10" s="98"/>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80"/>
      <c r="AL10" s="80"/>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80"/>
      <c r="BQ10" s="43"/>
      <c r="BR10" s="43"/>
      <c r="BS10" s="43"/>
      <c r="BT10" s="43"/>
      <c r="BU10" s="43"/>
      <c r="BV10" s="43"/>
      <c r="BW10" s="43"/>
      <c r="BX10" s="43"/>
      <c r="BY10" s="43"/>
      <c r="BZ10" s="43"/>
      <c r="CA10" s="43"/>
      <c r="CB10" s="43"/>
      <c r="CC10" s="43"/>
      <c r="CD10" s="43"/>
      <c r="CE10" s="43"/>
      <c r="CF10" s="43"/>
      <c r="CG10" s="76"/>
      <c r="CH10" s="43"/>
      <c r="CJ10" s="76"/>
      <c r="CK10" s="76"/>
      <c r="CL10" s="76"/>
      <c r="CM10" s="76"/>
      <c r="CN10" s="76"/>
      <c r="CO10" s="76"/>
      <c r="CP10" s="86"/>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98" t="s">
        <v>38</v>
      </c>
      <c r="C11" s="98"/>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80"/>
      <c r="AL11" s="80"/>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80"/>
      <c r="BQ11" s="43"/>
      <c r="BR11" s="43"/>
      <c r="BS11" s="43"/>
      <c r="BT11" s="43"/>
      <c r="BU11" s="43"/>
      <c r="BV11" s="43"/>
      <c r="BW11" s="43"/>
      <c r="BX11" s="43"/>
      <c r="BY11" s="43"/>
      <c r="BZ11" s="43"/>
      <c r="CA11" s="43"/>
      <c r="CB11" s="43"/>
      <c r="CC11" s="43"/>
      <c r="CD11" s="43"/>
      <c r="CE11" s="43"/>
      <c r="CF11" s="43"/>
      <c r="CG11" s="76"/>
      <c r="CH11" s="43"/>
      <c r="CI11" s="76"/>
      <c r="CJ11" s="76"/>
      <c r="CK11" s="76"/>
      <c r="CL11" s="76"/>
      <c r="CM11" s="76"/>
      <c r="CN11" s="76"/>
      <c r="CO11" s="76"/>
      <c r="CP11" s="86"/>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98" t="s">
        <v>39</v>
      </c>
      <c r="C12" s="98"/>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80"/>
      <c r="AL12" s="80"/>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80"/>
      <c r="BQ12" s="43"/>
      <c r="BR12" s="43"/>
      <c r="BS12" s="43"/>
      <c r="BT12" s="43"/>
      <c r="BU12" s="43"/>
      <c r="BV12" s="43"/>
      <c r="BW12" s="43"/>
      <c r="BX12" s="43"/>
      <c r="BY12" s="43"/>
      <c r="BZ12" s="43"/>
      <c r="CA12" s="43"/>
      <c r="CB12" s="43"/>
      <c r="CC12" s="43"/>
      <c r="CD12" s="43"/>
      <c r="CE12" s="43"/>
      <c r="CF12" s="43"/>
      <c r="CG12" s="76"/>
      <c r="CH12" s="43"/>
      <c r="CI12" s="76"/>
      <c r="CJ12" s="76"/>
      <c r="CK12" s="76"/>
      <c r="CL12" s="76"/>
      <c r="CM12" s="76"/>
      <c r="CN12" s="76"/>
      <c r="CO12" s="76"/>
      <c r="CP12" s="86"/>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98" t="s">
        <v>40</v>
      </c>
      <c r="C13" s="98"/>
      <c r="D13" s="13">
        <v>1</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80"/>
      <c r="AL13" s="8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80"/>
      <c r="BQ13" s="20"/>
      <c r="BR13" s="20"/>
      <c r="BS13" s="20"/>
      <c r="BT13" s="20"/>
      <c r="BU13" s="20"/>
      <c r="BV13" s="20"/>
      <c r="BW13" s="20"/>
      <c r="BX13" s="20"/>
      <c r="BY13" s="20"/>
      <c r="BZ13" s="20"/>
      <c r="CA13" s="20"/>
      <c r="CB13" s="20"/>
      <c r="CC13" s="20"/>
      <c r="CD13" s="20"/>
      <c r="CE13" s="20"/>
      <c r="CF13" s="20"/>
      <c r="CG13" s="73"/>
      <c r="CH13" s="20"/>
      <c r="CI13" s="20"/>
      <c r="CJ13" s="20"/>
      <c r="CK13" s="20"/>
      <c r="CL13" s="20"/>
      <c r="CM13" s="20"/>
      <c r="CN13" s="20"/>
      <c r="CO13" s="73"/>
      <c r="CP13" s="86"/>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90"/>
      <c r="J14" s="91"/>
      <c r="K14" s="91"/>
      <c r="L14" s="91"/>
      <c r="M14" s="91"/>
      <c r="N14" s="91"/>
      <c r="O14" s="91"/>
      <c r="P14" s="91"/>
      <c r="Q14" s="91"/>
      <c r="R14" s="91"/>
      <c r="S14" s="91"/>
      <c r="T14" s="91"/>
      <c r="U14" s="91"/>
      <c r="V14" s="91"/>
      <c r="W14" s="91"/>
      <c r="X14" s="91"/>
      <c r="Y14" s="91"/>
      <c r="Z14" s="91"/>
      <c r="AA14" s="91"/>
      <c r="AB14" s="91"/>
      <c r="AC14" s="91"/>
      <c r="AD14" s="91"/>
      <c r="AE14" s="91"/>
      <c r="AF14" s="91"/>
      <c r="AG14" s="91"/>
      <c r="AH14" s="91"/>
      <c r="AI14" s="91"/>
      <c r="AJ14" s="91"/>
      <c r="AK14" s="91"/>
      <c r="AL14" s="91"/>
      <c r="AM14" s="91"/>
      <c r="AN14" s="91"/>
      <c r="AO14" s="91"/>
      <c r="AP14" s="91"/>
      <c r="AQ14" s="91"/>
      <c r="AR14" s="91"/>
      <c r="AS14" s="91"/>
      <c r="AT14" s="91"/>
      <c r="AU14" s="91"/>
      <c r="AV14" s="91"/>
      <c r="AW14" s="91"/>
      <c r="AX14" s="91"/>
      <c r="AY14" s="91"/>
      <c r="AZ14" s="91"/>
      <c r="BA14" s="91"/>
      <c r="BB14" s="91"/>
      <c r="BC14" s="91"/>
      <c r="BD14" s="91"/>
      <c r="BE14" s="91"/>
      <c r="BF14" s="91"/>
      <c r="BG14" s="91"/>
      <c r="BH14" s="91"/>
      <c r="BI14" s="91"/>
      <c r="BJ14" s="91"/>
      <c r="BK14" s="91"/>
      <c r="BL14" s="91"/>
      <c r="BM14" s="91"/>
      <c r="BN14" s="91"/>
      <c r="BO14" s="91"/>
      <c r="BP14" s="91"/>
      <c r="BQ14" s="91"/>
      <c r="BR14" s="91"/>
      <c r="BS14" s="91"/>
      <c r="BT14" s="91"/>
      <c r="BU14" s="91"/>
      <c r="BV14" s="91"/>
      <c r="BW14" s="91"/>
      <c r="BX14" s="91"/>
      <c r="BY14" s="91"/>
      <c r="BZ14" s="91"/>
      <c r="CA14" s="91"/>
      <c r="CB14" s="91"/>
      <c r="CC14" s="91"/>
      <c r="CD14" s="91"/>
      <c r="CE14" s="91"/>
      <c r="CF14" s="91"/>
      <c r="CG14" s="91"/>
      <c r="CH14" s="91"/>
      <c r="CI14" s="91"/>
      <c r="CJ14" s="91"/>
      <c r="CK14" s="91"/>
      <c r="CL14" s="91"/>
      <c r="CM14" s="91"/>
      <c r="CN14" s="91"/>
      <c r="CO14" s="92"/>
      <c r="CP14" s="86"/>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80"/>
      <c r="AL15" s="80"/>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80"/>
      <c r="BQ15" s="43"/>
      <c r="BR15" s="43"/>
      <c r="BS15" s="43"/>
      <c r="BT15" s="43"/>
      <c r="BU15" s="43"/>
      <c r="BV15" s="43"/>
      <c r="BW15" s="43"/>
      <c r="BX15" s="43"/>
      <c r="BY15" s="43"/>
      <c r="BZ15" s="43"/>
      <c r="CA15" s="43"/>
      <c r="CB15" s="43"/>
      <c r="CC15" s="43"/>
      <c r="CD15" s="43"/>
      <c r="CE15" s="43"/>
      <c r="CF15" s="43"/>
      <c r="CG15" s="76"/>
      <c r="CH15" s="20"/>
      <c r="CI15" s="20"/>
      <c r="CJ15" s="20"/>
      <c r="CK15" s="20"/>
      <c r="CL15" s="20"/>
      <c r="CM15" s="20"/>
      <c r="CN15" s="20"/>
      <c r="CO15" s="73"/>
      <c r="CP15" s="86"/>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1</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80"/>
      <c r="AL16" s="80"/>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80"/>
      <c r="BQ16" s="43"/>
      <c r="BR16" s="43"/>
      <c r="BS16" s="43"/>
      <c r="BT16" s="43"/>
      <c r="BU16" s="43"/>
      <c r="BV16" s="43"/>
      <c r="BW16" s="43"/>
      <c r="BX16" s="43"/>
      <c r="BY16" s="43"/>
      <c r="BZ16" s="43"/>
      <c r="CA16" s="43"/>
      <c r="CB16" s="43"/>
      <c r="CC16" s="43"/>
      <c r="CD16" s="43"/>
      <c r="CE16" s="43"/>
      <c r="CF16" s="43"/>
      <c r="CG16" s="76"/>
      <c r="CH16" s="20"/>
      <c r="CI16" s="20"/>
      <c r="CJ16" s="20"/>
      <c r="CK16" s="20"/>
      <c r="CL16" s="20"/>
      <c r="CM16" s="20"/>
      <c r="CN16" s="20"/>
      <c r="CO16" s="73"/>
      <c r="CP16" s="8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1</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80"/>
      <c r="AL17" s="80"/>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80"/>
      <c r="BQ17" s="43"/>
      <c r="BR17" s="43"/>
      <c r="BS17" s="43"/>
      <c r="BT17" s="43"/>
      <c r="BU17" s="43"/>
      <c r="BV17" s="43"/>
      <c r="BW17" s="43"/>
      <c r="BX17" s="43"/>
      <c r="BY17" s="43"/>
      <c r="BZ17" s="43"/>
      <c r="CA17" s="43"/>
      <c r="CB17" s="43"/>
      <c r="CC17" s="43"/>
      <c r="CD17" s="43"/>
      <c r="CE17" s="43"/>
      <c r="CF17" s="43"/>
      <c r="CG17" s="76"/>
      <c r="CH17" s="20"/>
      <c r="CI17" s="20"/>
      <c r="CJ17" s="20"/>
      <c r="CK17" s="20"/>
      <c r="CL17" s="20"/>
      <c r="CM17" s="20"/>
      <c r="CN17" s="20"/>
      <c r="CO17" s="73"/>
      <c r="CP17" s="86"/>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1</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80"/>
      <c r="AL18" s="80"/>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80"/>
      <c r="BQ18" s="43"/>
      <c r="BR18" s="43"/>
      <c r="BS18" s="43"/>
      <c r="BT18" s="43"/>
      <c r="BU18" s="43"/>
      <c r="BV18" s="43"/>
      <c r="BW18" s="20"/>
      <c r="BX18" s="20"/>
      <c r="BY18" s="20"/>
      <c r="BZ18" s="43"/>
      <c r="CA18" s="43"/>
      <c r="CB18" s="43"/>
      <c r="CC18" s="43"/>
      <c r="CD18" s="43"/>
      <c r="CE18" s="43"/>
      <c r="CF18" s="43"/>
      <c r="CG18" s="76"/>
      <c r="CH18" s="20"/>
      <c r="CI18" s="20"/>
      <c r="CJ18" s="20"/>
      <c r="CK18" s="20"/>
      <c r="CL18" s="20"/>
      <c r="CM18" s="20"/>
      <c r="CN18" s="20"/>
      <c r="CO18" s="73"/>
      <c r="CP18" s="86"/>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80"/>
      <c r="AL19" s="80"/>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80"/>
      <c r="BQ19" s="43"/>
      <c r="BR19" s="20"/>
      <c r="BS19" s="43"/>
      <c r="BT19" s="43"/>
      <c r="BU19" s="20"/>
      <c r="BV19" s="20"/>
      <c r="BW19" s="20"/>
      <c r="BX19" s="20"/>
      <c r="BY19" s="20"/>
      <c r="BZ19" s="43"/>
      <c r="CA19" s="20"/>
      <c r="CB19" s="43"/>
      <c r="CC19" s="43"/>
      <c r="CD19" s="43"/>
      <c r="CE19" s="43"/>
      <c r="CF19" s="43"/>
      <c r="CG19" s="76"/>
      <c r="CH19" s="20"/>
      <c r="CI19" s="20"/>
      <c r="CJ19" s="20"/>
      <c r="CK19" s="20"/>
      <c r="CL19" s="20"/>
      <c r="CM19" s="20"/>
      <c r="CN19" s="20"/>
      <c r="CO19" s="73"/>
      <c r="CP19" s="86"/>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80"/>
      <c r="AL20" s="80"/>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80"/>
      <c r="BQ20" s="43"/>
      <c r="BR20" s="43"/>
      <c r="BS20" s="43"/>
      <c r="BT20" s="43"/>
      <c r="BU20" s="43"/>
      <c r="BV20" s="43"/>
      <c r="BW20" s="43"/>
      <c r="BX20" s="43"/>
      <c r="BY20" s="43"/>
      <c r="BZ20" s="43"/>
      <c r="CA20" s="43"/>
      <c r="CB20" s="43"/>
      <c r="CC20" s="43"/>
      <c r="CD20" s="43"/>
      <c r="CE20" s="43"/>
      <c r="CF20" s="43"/>
      <c r="CG20" s="76"/>
      <c r="CH20" s="20"/>
      <c r="CI20" s="20"/>
      <c r="CJ20" s="20"/>
      <c r="CK20" s="20"/>
      <c r="CL20" s="20"/>
      <c r="CM20" s="20"/>
      <c r="CN20" s="20"/>
      <c r="CO20" s="73"/>
      <c r="CP20" s="86"/>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80"/>
      <c r="AL21" s="8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80"/>
      <c r="BQ21" s="43"/>
      <c r="BR21" s="43"/>
      <c r="BS21" s="43"/>
      <c r="BT21" s="43"/>
      <c r="BU21" s="43"/>
      <c r="BV21" s="43"/>
      <c r="BW21" s="43"/>
      <c r="BX21" s="43"/>
      <c r="BY21" s="43"/>
      <c r="BZ21" s="43"/>
      <c r="CA21" s="43"/>
      <c r="CB21" s="43"/>
      <c r="CC21" s="43"/>
      <c r="CD21" s="43"/>
      <c r="CE21" s="43"/>
      <c r="CF21" s="43"/>
      <c r="CG21" s="76"/>
      <c r="CH21" s="20"/>
      <c r="CI21" s="20"/>
      <c r="CJ21" s="20"/>
      <c r="CK21" s="20"/>
      <c r="CL21" s="20"/>
      <c r="CM21" s="20"/>
      <c r="CN21" s="20"/>
      <c r="CO21" s="73"/>
      <c r="CP21" s="86"/>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88"/>
      <c r="J22" s="89"/>
      <c r="K22" s="89"/>
      <c r="L22" s="89"/>
      <c r="M22" s="89"/>
      <c r="N22" s="89"/>
      <c r="O22" s="89"/>
      <c r="P22" s="89"/>
      <c r="Q22" s="89"/>
      <c r="R22" s="89"/>
      <c r="S22" s="89"/>
      <c r="T22" s="89"/>
      <c r="U22" s="89"/>
      <c r="V22" s="89"/>
      <c r="W22" s="89"/>
      <c r="X22" s="89"/>
      <c r="Y22" s="89"/>
      <c r="Z22" s="89"/>
      <c r="AA22" s="89"/>
      <c r="AB22" s="89"/>
      <c r="AC22" s="89"/>
      <c r="AD22" s="89"/>
      <c r="AE22" s="89"/>
      <c r="AF22" s="89"/>
      <c r="AG22" s="89"/>
      <c r="AH22" s="89"/>
      <c r="AI22" s="89"/>
      <c r="AJ22" s="89"/>
      <c r="AK22" s="89"/>
      <c r="AL22" s="89"/>
      <c r="AM22" s="89"/>
      <c r="AN22" s="89"/>
      <c r="AO22" s="89"/>
      <c r="AP22" s="89"/>
      <c r="AQ22" s="89"/>
      <c r="AR22" s="89"/>
      <c r="AS22" s="89"/>
      <c r="AT22" s="89"/>
      <c r="AU22" s="89"/>
      <c r="AV22" s="89"/>
      <c r="AW22" s="89"/>
      <c r="AX22" s="89"/>
      <c r="AY22" s="89"/>
      <c r="AZ22" s="89"/>
      <c r="BA22" s="89"/>
      <c r="BB22" s="89"/>
      <c r="BC22" s="89"/>
      <c r="BD22" s="89"/>
      <c r="BE22" s="89"/>
      <c r="BF22" s="89"/>
      <c r="BG22" s="89"/>
      <c r="BH22" s="89"/>
      <c r="BI22" s="89"/>
      <c r="BJ22" s="89"/>
      <c r="BK22" s="89"/>
      <c r="BL22" s="89"/>
      <c r="BM22" s="89"/>
      <c r="BN22" s="89"/>
      <c r="BO22" s="89"/>
      <c r="BP22" s="89"/>
      <c r="BQ22" s="89"/>
      <c r="BR22" s="89"/>
      <c r="BS22" s="89"/>
      <c r="BT22" s="89"/>
      <c r="BU22" s="89"/>
      <c r="BV22" s="89"/>
      <c r="BW22" s="89"/>
      <c r="BX22" s="89"/>
      <c r="BY22" s="89"/>
      <c r="BZ22" s="89"/>
      <c r="CA22" s="89"/>
      <c r="CB22" s="89"/>
      <c r="CC22" s="89"/>
      <c r="CD22" s="89"/>
      <c r="CE22" s="89"/>
      <c r="CF22" s="89"/>
      <c r="CG22" s="89"/>
      <c r="CH22" s="89"/>
      <c r="CI22" s="89"/>
      <c r="CJ22" s="89"/>
      <c r="CK22" s="89"/>
      <c r="CL22" s="89"/>
      <c r="CM22" s="89"/>
      <c r="CN22" s="89"/>
      <c r="CO22" s="89"/>
      <c r="CP22" s="86"/>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80"/>
      <c r="AL23" s="80"/>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80"/>
      <c r="BQ23" s="43"/>
      <c r="BR23" s="43"/>
      <c r="BS23" s="43"/>
      <c r="BT23" s="43"/>
      <c r="BU23" s="43"/>
      <c r="BV23" s="43"/>
      <c r="BW23" s="43"/>
      <c r="BX23" s="43"/>
      <c r="BY23" s="43"/>
      <c r="BZ23" s="43"/>
      <c r="CA23" s="43"/>
      <c r="CB23" s="43"/>
      <c r="CC23" s="43"/>
      <c r="CD23" s="43"/>
      <c r="CE23" s="43"/>
      <c r="CF23" s="43"/>
      <c r="CG23" s="76"/>
      <c r="CH23" s="20"/>
      <c r="CI23" s="20"/>
      <c r="CJ23" s="20"/>
      <c r="CK23" s="20"/>
      <c r="CL23" s="20"/>
      <c r="CM23" s="20"/>
      <c r="CN23" s="20"/>
      <c r="CO23" s="73"/>
      <c r="CP23" s="86"/>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80"/>
      <c r="AL24" s="80"/>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80"/>
      <c r="BQ24" s="43"/>
      <c r="BR24" s="43"/>
      <c r="BS24" s="43"/>
      <c r="BT24" s="43"/>
      <c r="BU24" s="43"/>
      <c r="BV24" s="43"/>
      <c r="BW24" s="43"/>
      <c r="BX24" s="43"/>
      <c r="BY24" s="43"/>
      <c r="BZ24" s="43"/>
      <c r="CA24" s="43"/>
      <c r="CB24" s="43"/>
      <c r="CC24" s="43"/>
      <c r="CD24" s="43"/>
      <c r="CE24" s="43"/>
      <c r="CF24" s="43"/>
      <c r="CG24" s="76"/>
      <c r="CH24" s="20"/>
      <c r="CI24" s="20"/>
      <c r="CJ24" s="20"/>
      <c r="CK24" s="20"/>
      <c r="CL24" s="20"/>
      <c r="CM24" s="20"/>
      <c r="CN24" s="20"/>
      <c r="CO24" s="73"/>
      <c r="CP24" s="86"/>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80"/>
      <c r="AL25" s="80"/>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80"/>
      <c r="BQ25" s="43"/>
      <c r="BR25" s="43"/>
      <c r="BS25" s="43"/>
      <c r="BT25" s="43"/>
      <c r="BU25" s="43"/>
      <c r="BV25" s="43"/>
      <c r="BW25" s="43"/>
      <c r="BX25" s="43"/>
      <c r="BY25" s="43"/>
      <c r="BZ25" s="43"/>
      <c r="CA25" s="43"/>
      <c r="CB25" s="43"/>
      <c r="CC25" s="43"/>
      <c r="CD25" s="43"/>
      <c r="CE25" s="43"/>
      <c r="CF25" s="43"/>
      <c r="CG25" s="76"/>
      <c r="CH25" s="20"/>
      <c r="CI25" s="20"/>
      <c r="CJ25" s="20"/>
      <c r="CK25" s="20"/>
      <c r="CL25" s="20"/>
      <c r="CM25" s="20"/>
      <c r="CN25" s="20"/>
      <c r="CO25" s="73"/>
      <c r="CP25" s="86"/>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80"/>
      <c r="AL26" s="80"/>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80"/>
      <c r="BQ26" s="43"/>
      <c r="BR26" s="43"/>
      <c r="BS26" s="43"/>
      <c r="BT26" s="43"/>
      <c r="BU26" s="43"/>
      <c r="BV26" s="43"/>
      <c r="BW26" s="43"/>
      <c r="BX26" s="43"/>
      <c r="BY26" s="43"/>
      <c r="BZ26" s="43"/>
      <c r="CA26" s="43"/>
      <c r="CB26" s="43"/>
      <c r="CC26" s="43"/>
      <c r="CD26" s="43"/>
      <c r="CE26" s="43"/>
      <c r="CF26" s="43"/>
      <c r="CG26" s="76"/>
      <c r="CH26" s="20"/>
      <c r="CI26" s="20"/>
      <c r="CJ26" s="20"/>
      <c r="CK26" s="20"/>
      <c r="CL26" s="20"/>
      <c r="CM26" s="20"/>
      <c r="CN26" s="20"/>
      <c r="CO26" s="73"/>
      <c r="CP26" s="8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80"/>
      <c r="AL27" s="80"/>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80"/>
      <c r="BQ27" s="43"/>
      <c r="BR27" s="43"/>
      <c r="BS27" s="43"/>
      <c r="BT27" s="43"/>
      <c r="BU27" s="43"/>
      <c r="BV27" s="43"/>
      <c r="BW27" s="43"/>
      <c r="BX27" s="43"/>
      <c r="BY27" s="43"/>
      <c r="BZ27" s="43"/>
      <c r="CA27" s="43"/>
      <c r="CB27" s="43"/>
      <c r="CC27" s="43"/>
      <c r="CD27" s="43"/>
      <c r="CE27" s="43"/>
      <c r="CF27" s="43"/>
      <c r="CG27" s="76"/>
      <c r="CH27" s="20"/>
      <c r="CI27" s="20"/>
      <c r="CJ27" s="20"/>
      <c r="CK27" s="20"/>
      <c r="CL27" s="20"/>
      <c r="CM27" s="20"/>
      <c r="CN27" s="20"/>
      <c r="CO27" s="73"/>
      <c r="CP27" s="86"/>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81"/>
      <c r="AL28" s="81"/>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81"/>
      <c r="BQ28" s="70"/>
      <c r="BR28" s="70"/>
      <c r="BS28" s="70"/>
      <c r="BT28" s="70"/>
      <c r="BU28" s="70"/>
      <c r="BV28" s="70"/>
      <c r="BW28" s="70"/>
      <c r="BX28" s="70"/>
      <c r="BY28" s="70"/>
      <c r="BZ28" s="70"/>
      <c r="CA28" s="70"/>
      <c r="CB28" s="70"/>
      <c r="CC28" s="70"/>
      <c r="CD28" s="70"/>
      <c r="CE28" s="70"/>
      <c r="CF28" s="70"/>
      <c r="CG28" s="77"/>
      <c r="CH28" s="69"/>
      <c r="CI28" s="69"/>
      <c r="CJ28" s="69"/>
      <c r="CK28" s="69"/>
      <c r="CL28" s="69"/>
      <c r="CM28" s="69"/>
      <c r="CN28" s="69"/>
      <c r="CO28" s="83"/>
      <c r="CP28" s="86"/>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CF3:CJ3"/>
    <mergeCell ref="CK3:CO3"/>
    <mergeCell ref="I7:CO7"/>
    <mergeCell ref="BB3:BF3"/>
    <mergeCell ref="BG3:BK3"/>
    <mergeCell ref="BL3:BP3"/>
    <mergeCell ref="BQ3:BU3"/>
    <mergeCell ref="BV3:BZ3"/>
    <mergeCell ref="AC3:AG3"/>
    <mergeCell ref="AH3:AL3"/>
    <mergeCell ref="AM3:AQ3"/>
    <mergeCell ref="AR3:AV3"/>
    <mergeCell ref="AW3:BA3"/>
    <mergeCell ref="I22:CO22"/>
    <mergeCell ref="I14:CO14"/>
    <mergeCell ref="C2:D2"/>
    <mergeCell ref="C3:D3"/>
    <mergeCell ref="E2:F2"/>
    <mergeCell ref="B13:C13"/>
    <mergeCell ref="I3:M3"/>
    <mergeCell ref="N3:R3"/>
    <mergeCell ref="S3:W3"/>
    <mergeCell ref="X3:AB3"/>
    <mergeCell ref="B8:C8"/>
    <mergeCell ref="B9:C9"/>
    <mergeCell ref="B10:C10"/>
    <mergeCell ref="B11:C11"/>
    <mergeCell ref="B12:C12"/>
    <mergeCell ref="CA3:CE3"/>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P7:DP7 BQ8:DP9 I8:BP13 BQ10:CH10 CP10:DP10 BQ11:DP12 BQ13:CO13 CP13:DP28 I14 I15:CO21 I22 I23:CO28 BM29:DP34 I29:BL35">
    <cfRule type="expression" dxfId="8" priority="36">
      <formula>AND(TODAY()&gt;=I$4,TODAY()&lt;J$4)</formula>
    </cfRule>
  </conditionalFormatting>
  <conditionalFormatting sqref="I6:DP6 I7 CP7:DP7 BQ8:DP9 I8:BP13 BQ10:CH10 CP10:DP10 BQ11:DP12 BQ13:CO13 CP13:DP28 I14 I15:CO21 I22 I23:CO28 BM29:DP34 I29:BL35">
    <cfRule type="expression" dxfId="7" priority="30">
      <formula>AND(task_start&lt;=I$4,ROUNDDOWN((task_end-task_start+1)*task_progress,0)+task_start-1&gt;=I$4)</formula>
    </cfRule>
    <cfRule type="expression" dxfId="6" priority="31" stopIfTrue="1">
      <formula>AND(task_end&gt;=I$4,task_start&lt;J$4)</formula>
    </cfRule>
  </conditionalFormatting>
  <conditionalFormatting sqref="BW20">
    <cfRule type="expression" dxfId="5" priority="45">
      <formula>AND(TODAY()&gt;=BY$4,TODAY()&lt;BZ$4)</formula>
    </cfRule>
    <cfRule type="expression" dxfId="4" priority="48">
      <formula>AND(task_start&lt;=BY$4,ROUNDDOWN((task_end-task_start+1)*task_progress,0)+task_start-1&gt;=BY$4)</formula>
    </cfRule>
    <cfRule type="expression" dxfId="3" priority="49" stopIfTrue="1">
      <formula>AND(task_end&gt;=BY$4,task_start&lt;BZ$4)</formula>
    </cfRule>
  </conditionalFormatting>
  <conditionalFormatting sqref="CJ10:CO10">
    <cfRule type="expression" dxfId="2" priority="38">
      <formula>AND(TODAY()&gt;=CI$4,TODAY()&lt;CJ$4)</formula>
    </cfRule>
    <cfRule type="expression" dxfId="1" priority="42">
      <formula>AND(task_start&lt;=CI$4,ROUNDDOWN((task_end-task_start+1)*task_progress,0)+task_start-1&gt;=CI$4)</formula>
    </cfRule>
    <cfRule type="expression" dxfId="0" priority="43" stopIfTrue="1">
      <formula>AND(task_end&gt;=CI$4,task_start&lt;CJ$4)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2025-11-15T17:57:44Z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