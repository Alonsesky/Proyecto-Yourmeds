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ThisWorkbook"/>
  <xr:revisionPtr revIDLastSave="0" documentId="13_ncr:1_{FBCCE1AD-A225-4C21-8CF3-6D5EFD207A71}" xr6:coauthVersionLast="47" xr6:coauthVersionMax="47" xr10:uidLastSave="{00000000-0000-0000-0000-000000000000}"/>
  <bookViews>
    <workbookView xWindow="-120" yWindow="-120" windowWidth="29040" windowHeight="15720" xr2:uid="{00000000-000D-0000-FFFF-FFFF00000000}"/>
  </bookViews>
  <sheets>
    <sheet name="Carta Gatt" sheetId="11" r:id="rId1"/>
  </sheets>
  <definedNames>
    <definedName name="hoy" localSheetId="0">TODAY()</definedName>
    <definedName name="Inicio_del_proyecto">'Carta Gatt'!$E$2</definedName>
    <definedName name="Semana_para_mostrar">'Carta Gatt'!$E$3</definedName>
    <definedName name="task_end" localSheetId="0">'Carta Gatt'!$F1</definedName>
    <definedName name="task_progress" localSheetId="0">'Carta Gatt'!$D1</definedName>
    <definedName name="task_start" localSheetId="0">'Carta Gatt'!$E1</definedName>
    <definedName name="_xlnm.Print_Titles" localSheetId="0">'Carta Gatt'!$3:$5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3" i="11" l="1"/>
  <c r="F11" i="11"/>
  <c r="F10" i="11"/>
  <c r="H24" i="11"/>
  <c r="H22" i="11"/>
  <c r="H23" i="11"/>
  <c r="H26" i="11"/>
  <c r="H27" i="11"/>
  <c r="H28" i="11"/>
  <c r="H29" i="11"/>
  <c r="H30" i="11"/>
  <c r="H31" i="11"/>
  <c r="H8" i="11"/>
  <c r="E2" i="11" l="1"/>
  <c r="H6" i="11"/>
  <c r="K4" i="11" l="1"/>
  <c r="AA4" i="11"/>
  <c r="AQ4" i="11"/>
  <c r="BG4" i="11"/>
  <c r="BW4" i="11"/>
  <c r="O4" i="11"/>
  <c r="AC4" i="11"/>
  <c r="AS4" i="11"/>
  <c r="BY4" i="11"/>
  <c r="Q4" i="11"/>
  <c r="AD4" i="11"/>
  <c r="AT4" i="11"/>
  <c r="AT3" i="11" s="1"/>
  <c r="BZ4" i="11"/>
  <c r="AU4" i="11"/>
  <c r="S4" i="11"/>
  <c r="AF4" i="11"/>
  <c r="AV4" i="11"/>
  <c r="CB4" i="11"/>
  <c r="BM4" i="11"/>
  <c r="U4" i="11"/>
  <c r="U3" i="11" s="1"/>
  <c r="AH4" i="11"/>
  <c r="AX4" i="11"/>
  <c r="BN4" i="11"/>
  <c r="BN3" i="11" s="1"/>
  <c r="V4" i="11"/>
  <c r="AI4" i="11"/>
  <c r="AY4" i="11"/>
  <c r="AY3" i="11" s="1"/>
  <c r="BO4" i="11"/>
  <c r="W4" i="11"/>
  <c r="AJ4" i="11"/>
  <c r="AJ3" i="11" s="1"/>
  <c r="AZ4" i="11"/>
  <c r="BP4" i="11"/>
  <c r="X4" i="11"/>
  <c r="BQ4" i="11"/>
  <c r="AL4" i="11"/>
  <c r="BB4" i="11"/>
  <c r="BR4" i="11"/>
  <c r="I4" i="11"/>
  <c r="I3" i="11" s="1"/>
  <c r="BC4" i="11"/>
  <c r="AN4" i="11"/>
  <c r="BD4" i="11"/>
  <c r="BD3" i="11" s="1"/>
  <c r="BT4" i="11"/>
  <c r="L4" i="11"/>
  <c r="Y4" i="11"/>
  <c r="BE4" i="11"/>
  <c r="Z4" i="11"/>
  <c r="Z3" i="11" s="1"/>
  <c r="BF4" i="11"/>
  <c r="N4" i="11"/>
  <c r="AB4" i="11"/>
  <c r="AR4" i="11"/>
  <c r="BH4" i="11"/>
  <c r="BX4" i="11"/>
  <c r="BX3" i="11" s="1"/>
  <c r="P4" i="11"/>
  <c r="BI4" i="11"/>
  <c r="BI3" i="11" s="1"/>
  <c r="BJ4" i="11"/>
  <c r="R4" i="11"/>
  <c r="AE4" i="11"/>
  <c r="AE3" i="11" s="1"/>
  <c r="BK4" i="11"/>
  <c r="CA4" i="11"/>
  <c r="BL4" i="11"/>
  <c r="T4" i="11"/>
  <c r="AG4" i="11"/>
  <c r="AW4" i="11"/>
  <c r="CC4" i="11"/>
  <c r="CC3" i="11" s="1"/>
  <c r="CD4" i="11"/>
  <c r="CE4" i="11"/>
  <c r="CF4" i="11"/>
  <c r="AK4" i="11"/>
  <c r="BA4" i="11"/>
  <c r="CG4" i="11"/>
  <c r="J4" i="11"/>
  <c r="AM4" i="11"/>
  <c r="BS4" i="11"/>
  <c r="BS3" i="11" s="1"/>
  <c r="AO4" i="11"/>
  <c r="AO3" i="11" s="1"/>
  <c r="BU4" i="11"/>
  <c r="M4" i="11"/>
  <c r="AP4" i="11"/>
  <c r="BV4" i="11"/>
  <c r="H35" i="11"/>
  <c r="H34" i="11"/>
  <c r="H33" i="11"/>
  <c r="H32" i="11"/>
  <c r="H14" i="11"/>
  <c r="H7" i="11"/>
  <c r="I5" i="11" l="1"/>
  <c r="J5" i="11" l="1"/>
  <c r="K5" i="11" l="1"/>
  <c r="H10" i="11"/>
  <c r="L5" i="11" l="1"/>
  <c r="N5" i="11" l="1"/>
  <c r="M5" i="11"/>
  <c r="O5" i="11" l="1"/>
  <c r="P3" i="11" l="1"/>
  <c r="P5" i="11" l="1"/>
  <c r="Q5" i="11" l="1"/>
  <c r="R5" i="11" l="1"/>
  <c r="S5" i="11" l="1"/>
  <c r="T5" i="11" l="1"/>
  <c r="U5" i="11" l="1"/>
  <c r="V5" i="11"/>
  <c r="W5" i="11" l="1"/>
  <c r="X5" i="11" l="1"/>
  <c r="Y5" i="11" l="1"/>
  <c r="AS5" i="11" l="1"/>
  <c r="AT5" i="11" l="1"/>
  <c r="Z5" i="11"/>
  <c r="AA5" i="11"/>
  <c r="AU5" i="11" l="1"/>
  <c r="AB5" i="11"/>
  <c r="AV5" i="11" l="1"/>
  <c r="AC5" i="11"/>
  <c r="AW5" i="11" l="1"/>
  <c r="AD5" i="11"/>
  <c r="AX5" i="11" l="1"/>
  <c r="AE5" i="11"/>
  <c r="AY5" i="11" l="1"/>
  <c r="AF5" i="11"/>
  <c r="AZ5" i="11" l="1"/>
  <c r="AG5" i="11"/>
  <c r="BA5" i="11" l="1"/>
  <c r="AH5" i="11"/>
  <c r="BB5" i="11" l="1"/>
  <c r="AI5" i="11"/>
  <c r="BC5" i="11" l="1"/>
  <c r="AJ5" i="11"/>
  <c r="BD5" i="11" l="1"/>
  <c r="AK5" i="11"/>
  <c r="BE5" i="11" l="1"/>
  <c r="AL5" i="11"/>
  <c r="BF5" i="11" l="1"/>
  <c r="AM5" i="11"/>
  <c r="BG5" i="11" l="1"/>
  <c r="AN5" i="11"/>
  <c r="BH5" i="11" l="1"/>
  <c r="AO5" i="11"/>
  <c r="BI5" i="11" l="1"/>
  <c r="AP5" i="11"/>
  <c r="BJ5" i="11" l="1"/>
  <c r="AQ5" i="11"/>
  <c r="BK5" i="11" l="1"/>
  <c r="AR5" i="11"/>
  <c r="BL5" i="11" l="1"/>
  <c r="BM5" i="11" l="1"/>
  <c r="BN5" i="11" l="1"/>
  <c r="BO5" i="11" l="1"/>
  <c r="BP5" i="11" l="1"/>
  <c r="BQ5" i="11" l="1"/>
  <c r="BR5" i="11" l="1"/>
  <c r="BS5" i="11" l="1"/>
  <c r="BT5" i="11" l="1"/>
  <c r="BU5" i="11" l="1"/>
  <c r="BV5" i="11" l="1"/>
  <c r="BW5" i="11" l="1"/>
  <c r="BX5" i="11" l="1"/>
  <c r="BY5" i="11" l="1"/>
  <c r="BZ5" i="11" l="1"/>
  <c r="CA5" i="11" l="1"/>
  <c r="CB5" i="11" l="1"/>
  <c r="CC5" i="11" l="1"/>
  <c r="CD5" i="11" l="1"/>
  <c r="CE5" i="11" l="1"/>
  <c r="CF5" i="11" l="1"/>
  <c r="CG5" i="11" l="1"/>
</calcChain>
</file>

<file path=xl/sharedStrings.xml><?xml version="1.0" encoding="utf-8"?>
<sst xmlns="http://schemas.openxmlformats.org/spreadsheetml/2006/main" count="43" uniqueCount="42">
  <si>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</si>
  <si>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</si>
  <si>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</si>
  <si>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</si>
  <si>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</si>
  <si>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</si>
  <si>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</si>
  <si>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</si>
  <si>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</si>
  <si>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</si>
  <si>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TAREA</t>
  </si>
  <si>
    <t>Inicio del proyecto:</t>
  </si>
  <si>
    <t>Semana para mostrar:</t>
  </si>
  <si>
    <t>ASIGNADO
A</t>
  </si>
  <si>
    <t>PROGRESO</t>
  </si>
  <si>
    <t>INICIO</t>
  </si>
  <si>
    <t>FIN</t>
  </si>
  <si>
    <t>DÍAS</t>
  </si>
  <si>
    <t>Yourmeds</t>
  </si>
  <si>
    <t>1. Fase 1</t>
  </si>
  <si>
    <t>2. Fase 2</t>
  </si>
  <si>
    <t>3. Fase 3</t>
  </si>
  <si>
    <t xml:space="preserve"> </t>
  </si>
  <si>
    <t xml:space="preserve">    2.1. Preparación del ambiente de desarrollo</t>
  </si>
  <si>
    <t xml:space="preserve">    2.2 Desarrollo Frontend</t>
  </si>
  <si>
    <t xml:space="preserve">    2.3 Desarrollo Backend</t>
  </si>
  <si>
    <t xml:space="preserve">    2.4 Integración Frontend–Backend </t>
  </si>
  <si>
    <t xml:space="preserve">    2.5 Pruebas unitarias y de integración</t>
  </si>
  <si>
    <t xml:space="preserve">    2.6 Pruebas de usabilidad</t>
  </si>
  <si>
    <t xml:space="preserve">    2.7 Despliegue en la nube</t>
  </si>
  <si>
    <t xml:space="preserve">    1.1 Definición del proyecto</t>
  </si>
  <si>
    <t xml:space="preserve">    1.2 Planificación inicial</t>
  </si>
  <si>
    <t xml:space="preserve">    1.3 Diseño técnico</t>
  </si>
  <si>
    <t xml:space="preserve">    1.5 Priorización del Product Backlog</t>
  </si>
  <si>
    <t xml:space="preserve">    1.4 Identificación de riesgos</t>
  </si>
  <si>
    <t xml:space="preserve">    1.6 Creación de la carta Gantt</t>
  </si>
  <si>
    <t>3.1 Documentación final</t>
  </si>
  <si>
    <t>3.2 Capacitación y marcha blanca</t>
  </si>
  <si>
    <t>3.3 Soporte inicial</t>
  </si>
  <si>
    <t>3.4 Cierre formal del proyecto</t>
  </si>
  <si>
    <t>3.5 Revisión de cumplimiento de objetivos</t>
  </si>
  <si>
    <t>3.6 Cierre administrativo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</si>
</sst>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s>
  <fonts count="30"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9" tint="0.39997558519241921"/>
        <bgColor indexed="64"/>
      </patternFill>
    </fill>
    <fill>
      <patternFill patternType="solid">
        <fgColor theme="3" tint="0.59999389629810485"/>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top/>
      <bottom style="medium">
        <color theme="0" tint="-0.14996795556505021"/>
      </bottom>
      <diagonal/>
    </border>
    <border>
      <left style="thin">
        <color theme="0" tint="-0.14993743705557422"/>
      </left>
      <right style="thin">
        <color theme="0" tint="-0.14993743705557422"/>
      </right>
      <top/>
      <bottom style="medium">
        <color theme="0" tint="-0.14996795556505021"/>
      </bottom>
      <diagonal/>
    </border>
    <border>
      <left/>
      <right/>
      <top style="medium">
        <color theme="0" tint="-0.14996795556505021"/>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indexed="64"/>
      </right>
      <top style="medium">
        <color theme="0" tint="-0.14996795556505021"/>
      </top>
      <bottom style="thin">
        <color indexed="64"/>
      </bottom>
      <diagonal/>
    </border>
    <border>
      <left style="thin">
        <color theme="0" tint="-0.14993743705557422"/>
      </left>
      <right style="thin">
        <color indexed="64"/>
      </right>
      <top style="medium">
        <color theme="0" tint="-0.14996795556505021"/>
      </top>
      <bottom style="medium">
        <color theme="0" tint="-0.14996795556505021"/>
      </bottom>
      <diagonal/>
    </border>
    <border>
      <left/>
      <right style="thin">
        <color indexed="64"/>
      </right>
      <top style="medium">
        <color theme="0" tint="-0.14996795556505021"/>
      </top>
      <bottom style="medium">
        <color theme="0" tint="-0.14996795556505021"/>
      </bottom>
      <diagonal/>
    </border>
    <border>
      <left style="thin">
        <color theme="0" tint="-0.34998626667073579"/>
      </left>
      <right style="thin">
        <color indexed="64"/>
      </right>
      <top/>
      <bottom style="medium">
        <color theme="0" tint="-0.14996795556505021"/>
      </bottom>
      <diagonal/>
    </border>
    <border>
      <left style="thin">
        <color theme="0" tint="-0.34998626667073579"/>
      </left>
      <right style="thin">
        <color indexed="64"/>
      </right>
      <top/>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6" fillId="0" borderId="0"/>
    <xf numFmtId="167"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70"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19" fillId="0" borderId="0" applyNumberFormat="0" applyFill="0" applyBorder="0" applyAlignment="0" applyProtection="0"/>
    <xf numFmtId="0" fontId="20" fillId="11" borderId="0" applyNumberFormat="0" applyBorder="0" applyAlignment="0" applyProtection="0"/>
    <xf numFmtId="0" fontId="21" fillId="12" borderId="0" applyNumberFormat="0" applyBorder="0" applyAlignment="0" applyProtection="0"/>
    <xf numFmtId="0" fontId="22" fillId="13" borderId="0" applyNumberFormat="0" applyBorder="0" applyAlignment="0" applyProtection="0"/>
    <xf numFmtId="0" fontId="23" fillId="14" borderId="11" applyNumberFormat="0" applyAlignment="0" applyProtection="0"/>
    <xf numFmtId="0" fontId="24" fillId="15" borderId="12" applyNumberFormat="0" applyAlignment="0" applyProtection="0"/>
    <xf numFmtId="0" fontId="25" fillId="15" borderId="11" applyNumberFormat="0" applyAlignment="0" applyProtection="0"/>
    <xf numFmtId="0" fontId="26" fillId="0" borderId="13" applyNumberFormat="0" applyFill="0" applyAlignment="0" applyProtection="0"/>
    <xf numFmtId="0" fontId="27" fillId="16" borderId="14" applyNumberFormat="0" applyAlignment="0" applyProtection="0"/>
    <xf numFmtId="0" fontId="28" fillId="0" borderId="0" applyNumberFormat="0" applyFill="0" applyBorder="0" applyAlignment="0" applyProtection="0"/>
    <xf numFmtId="0" fontId="9" fillId="17"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6"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6"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6"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6"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6"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16"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cellStyleXfs>
  <cellXfs count="122">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7" fillId="10" borderId="1" xfId="0" applyFont="1" applyFill="1" applyBorder="1" applyAlignment="1">
      <alignment horizontal="left" vertical="center" indent="1"/>
    </xf>
    <xf numFmtId="0" fontId="7" fillId="10" borderId="1" xfId="0" applyFont="1" applyFill="1" applyBorder="1" applyAlignment="1">
      <alignment horizontal="center" vertical="center" wrapText="1"/>
    </xf>
    <xf numFmtId="0" fontId="12" fillId="9"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9" fontId="5" fillId="3" borderId="2" xfId="2" applyFont="1" applyFill="1" applyBorder="1" applyAlignment="1">
      <alignment horizontal="center" vertical="center"/>
    </xf>
    <xf numFmtId="0" fontId="6" fillId="7" borderId="2" xfId="0" applyFont="1" applyFill="1" applyBorder="1" applyAlignment="1">
      <alignment horizontal="left" vertical="center" indent="1"/>
    </xf>
    <xf numFmtId="9" fontId="5" fillId="7"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8"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6" fillId="0" borderId="0" xfId="3"/>
    <xf numFmtId="0" fontId="16" fillId="0" borderId="0" xfId="3" applyAlignment="1">
      <alignment wrapText="1"/>
    </xf>
    <xf numFmtId="0" fontId="16"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7">
      <alignment vertical="top"/>
    </xf>
    <xf numFmtId="0" fontId="9" fillId="3" borderId="2" xfId="11" applyFill="1">
      <alignment horizontal="center" vertical="center"/>
    </xf>
    <xf numFmtId="0" fontId="9" fillId="7" borderId="2" xfId="11" applyFill="1">
      <alignment horizontal="center" vertical="center"/>
    </xf>
    <xf numFmtId="0" fontId="9" fillId="4" borderId="2" xfId="11" applyFill="1">
      <alignment horizontal="center" vertical="center"/>
    </xf>
    <xf numFmtId="0" fontId="9" fillId="5" borderId="2" xfId="11" applyFill="1">
      <alignment horizontal="center" vertical="center"/>
    </xf>
    <xf numFmtId="0" fontId="9" fillId="8" borderId="2" xfId="11" applyFill="1">
      <alignment horizontal="center" vertical="center"/>
    </xf>
    <xf numFmtId="0" fontId="9" fillId="0" borderId="2" xfId="11">
      <alignment horizontal="center" vertical="center"/>
    </xf>
    <xf numFmtId="0" fontId="9" fillId="4" borderId="2" xfId="12" applyFill="1">
      <alignment horizontal="left" vertical="center" indent="2"/>
    </xf>
    <xf numFmtId="0" fontId="9" fillId="0" borderId="2" xfId="12">
      <alignment horizontal="left" vertical="center" indent="2"/>
    </xf>
    <xf numFmtId="0" fontId="0" fillId="0" borderId="10" xfId="0" applyBorder="1"/>
    <xf numFmtId="170" fontId="0" fillId="7" borderId="2" xfId="0" applyNumberFormat="1" applyFill="1" applyBorder="1" applyAlignment="1">
      <alignment horizontal="center" vertical="center"/>
    </xf>
    <xf numFmtId="170" fontId="5" fillId="7" borderId="2" xfId="0" applyNumberFormat="1" applyFont="1" applyFill="1" applyBorder="1" applyAlignment="1">
      <alignment horizontal="center" vertical="center"/>
    </xf>
    <xf numFmtId="170" fontId="0" fillId="5" borderId="2" xfId="0" applyNumberFormat="1" applyFill="1" applyBorder="1" applyAlignment="1">
      <alignment horizontal="center" vertical="center"/>
    </xf>
    <xf numFmtId="170" fontId="5" fillId="5" borderId="2" xfId="0" applyNumberFormat="1" applyFont="1" applyFill="1" applyBorder="1" applyAlignment="1">
      <alignment horizontal="center" vertical="center"/>
    </xf>
    <xf numFmtId="170" fontId="9" fillId="8" borderId="2" xfId="10" applyFill="1">
      <alignment horizontal="center" vertical="center"/>
    </xf>
    <xf numFmtId="170" fontId="4" fillId="2" borderId="2" xfId="0" applyNumberFormat="1" applyFont="1" applyFill="1" applyBorder="1" applyAlignment="1">
      <alignment horizontal="left" vertical="center"/>
    </xf>
    <xf numFmtId="170" fontId="5" fillId="2" borderId="2" xfId="0" applyNumberFormat="1" applyFont="1" applyFill="1" applyBorder="1" applyAlignment="1">
      <alignment horizontal="center" vertical="center"/>
    </xf>
    <xf numFmtId="171" fontId="11" fillId="6" borderId="6" xfId="0" applyNumberFormat="1" applyFont="1" applyFill="1" applyBorder="1" applyAlignment="1">
      <alignment horizontal="center" vertical="center"/>
    </xf>
    <xf numFmtId="170" fontId="9" fillId="3" borderId="2" xfId="10" applyFill="1">
      <alignment horizontal="center" vertical="center"/>
    </xf>
    <xf numFmtId="170" fontId="9" fillId="4" borderId="2" xfId="10" applyFill="1">
      <alignment horizontal="center" vertical="center"/>
    </xf>
    <xf numFmtId="170" fontId="9" fillId="0" borderId="2" xfId="10">
      <alignment horizontal="center" vertical="center"/>
    </xf>
    <xf numFmtId="0" fontId="0" fillId="42" borderId="9" xfId="0" applyFill="1" applyBorder="1" applyAlignment="1">
      <alignment vertical="center"/>
    </xf>
    <xf numFmtId="0" fontId="0" fillId="42" borderId="9" xfId="0" applyFill="1" applyBorder="1" applyAlignment="1">
      <alignment horizontal="right" vertical="center"/>
    </xf>
    <xf numFmtId="171" fontId="11" fillId="6" borderId="6" xfId="0" applyNumberFormat="1" applyFont="1" applyFill="1" applyBorder="1" applyAlignment="1">
      <alignment horizontal="center" vertical="center" wrapText="1"/>
    </xf>
    <xf numFmtId="0" fontId="17" fillId="0" borderId="0" xfId="0" applyFont="1"/>
    <xf numFmtId="0" fontId="0" fillId="0" borderId="0" xfId="0" applyAlignment="1">
      <alignment horizontal="center" vertical="center"/>
    </xf>
    <xf numFmtId="0" fontId="9" fillId="42" borderId="2" xfId="11" applyFill="1">
      <alignment horizontal="center" vertical="center"/>
    </xf>
    <xf numFmtId="9" fontId="5" fillId="42" borderId="2" xfId="2" applyFont="1" applyFill="1" applyBorder="1" applyAlignment="1">
      <alignment horizontal="center" vertical="center"/>
    </xf>
    <xf numFmtId="0" fontId="9" fillId="42" borderId="2" xfId="12" applyFill="1">
      <alignment horizontal="left" vertical="center" indent="2"/>
    </xf>
    <xf numFmtId="170" fontId="9" fillId="42" borderId="2" xfId="10" applyFill="1">
      <alignment horizontal="center" vertical="center"/>
    </xf>
    <xf numFmtId="0" fontId="5" fillId="3" borderId="2" xfId="0" applyFont="1" applyFill="1" applyBorder="1" applyAlignment="1">
      <alignment horizontal="center" vertical="center"/>
    </xf>
    <xf numFmtId="0" fontId="5" fillId="7" borderId="2" xfId="0" applyFont="1" applyFill="1" applyBorder="1" applyAlignment="1">
      <alignment horizontal="center" vertical="center"/>
    </xf>
    <xf numFmtId="0" fontId="5" fillId="4" borderId="2" xfId="0" applyFont="1" applyFill="1" applyBorder="1" applyAlignment="1">
      <alignment horizontal="center" vertical="center"/>
    </xf>
    <xf numFmtId="0" fontId="5" fillId="5" borderId="2" xfId="0" applyFont="1" applyFill="1" applyBorder="1" applyAlignment="1">
      <alignment horizontal="center" vertical="center"/>
    </xf>
    <xf numFmtId="0" fontId="5" fillId="8" borderId="2" xfId="0" applyFont="1" applyFill="1" applyBorder="1" applyAlignment="1">
      <alignment horizontal="center" vertical="center"/>
    </xf>
    <xf numFmtId="171" fontId="11" fillId="43" borderId="6" xfId="0" applyNumberFormat="1" applyFont="1" applyFill="1" applyBorder="1" applyAlignment="1">
      <alignment horizontal="center" vertical="center"/>
    </xf>
    <xf numFmtId="0" fontId="0" fillId="43" borderId="9" xfId="0" applyFill="1" applyBorder="1" applyAlignment="1">
      <alignment vertical="center"/>
    </xf>
    <xf numFmtId="0" fontId="16" fillId="42" borderId="0" xfId="3" applyFill="1" applyAlignment="1">
      <alignment wrapText="1"/>
    </xf>
    <xf numFmtId="0" fontId="6" fillId="44" borderId="2" xfId="0" applyFont="1" applyFill="1" applyBorder="1" applyAlignment="1">
      <alignment horizontal="left" vertical="center" indent="1"/>
    </xf>
    <xf numFmtId="0" fontId="9" fillId="44" borderId="2" xfId="11" applyFill="1">
      <alignment horizontal="center" vertical="center"/>
    </xf>
    <xf numFmtId="9" fontId="5" fillId="44" borderId="2" xfId="2" applyFont="1" applyFill="1" applyBorder="1" applyAlignment="1">
      <alignment horizontal="center" vertical="center"/>
    </xf>
    <xf numFmtId="170" fontId="0" fillId="44" borderId="2" xfId="0" applyNumberFormat="1" applyFill="1" applyBorder="1" applyAlignment="1">
      <alignment horizontal="center" vertical="center"/>
    </xf>
    <xf numFmtId="170" fontId="5" fillId="44" borderId="2" xfId="0" applyNumberFormat="1" applyFont="1" applyFill="1" applyBorder="1" applyAlignment="1">
      <alignment horizontal="center" vertical="center"/>
    </xf>
    <xf numFmtId="0" fontId="5" fillId="44" borderId="2" xfId="0" applyFont="1" applyFill="1" applyBorder="1" applyAlignment="1">
      <alignment horizontal="center" vertical="center"/>
    </xf>
    <xf numFmtId="0" fontId="0" fillId="44" borderId="0" xfId="0" applyFill="1"/>
    <xf numFmtId="0" fontId="0" fillId="44" borderId="0" xfId="0" applyFill="1" applyAlignment="1">
      <alignment vertical="center"/>
    </xf>
    <xf numFmtId="0" fontId="9" fillId="8" borderId="2" xfId="12" applyFill="1" applyAlignment="1">
      <alignment horizontal="left" vertical="center" indent="3"/>
    </xf>
    <xf numFmtId="0" fontId="0" fillId="44" borderId="17" xfId="0" applyFill="1" applyBorder="1" applyAlignment="1">
      <alignment horizontal="center" vertical="center"/>
    </xf>
    <xf numFmtId="0" fontId="0" fillId="44" borderId="2" xfId="0" applyFill="1" applyBorder="1" applyAlignment="1">
      <alignment horizontal="center" vertical="center"/>
    </xf>
    <xf numFmtId="0" fontId="0" fillId="44" borderId="18" xfId="0" applyFill="1" applyBorder="1" applyAlignment="1">
      <alignment horizontal="center" vertical="center"/>
    </xf>
    <xf numFmtId="0" fontId="0" fillId="7" borderId="17" xfId="0" applyFill="1" applyBorder="1" applyAlignment="1">
      <alignment horizontal="center" vertical="center"/>
    </xf>
    <xf numFmtId="0" fontId="0" fillId="7" borderId="2" xfId="0" applyFill="1" applyBorder="1" applyAlignment="1">
      <alignment horizontal="center" vertical="center"/>
    </xf>
    <xf numFmtId="0" fontId="0" fillId="5" borderId="17" xfId="0" applyFill="1" applyBorder="1" applyAlignment="1">
      <alignment horizontal="center" vertical="center"/>
    </xf>
    <xf numFmtId="0" fontId="0" fillId="5" borderId="2" xfId="0" applyFill="1" applyBorder="1" applyAlignment="1">
      <alignment horizontal="center" vertical="center"/>
    </xf>
    <xf numFmtId="169" fontId="0" fillId="6" borderId="4" xfId="0" applyNumberFormat="1" applyFill="1" applyBorder="1" applyAlignment="1">
      <alignment horizontal="center" vertical="center" wrapText="1"/>
    </xf>
    <xf numFmtId="169" fontId="0" fillId="6" borderId="1" xfId="0" applyNumberFormat="1" applyFill="1" applyBorder="1" applyAlignment="1">
      <alignment horizontal="center" vertical="center" wrapText="1"/>
    </xf>
    <xf numFmtId="169" fontId="0" fillId="6" borderId="5" xfId="0" applyNumberFormat="1" applyFill="1" applyBorder="1" applyAlignment="1">
      <alignment horizontal="center" vertical="center" wrapText="1"/>
    </xf>
    <xf numFmtId="0" fontId="9" fillId="0" borderId="0" xfId="8">
      <alignment horizontal="right" indent="1"/>
    </xf>
    <xf numFmtId="0" fontId="9" fillId="0" borderId="7" xfId="8" applyBorder="1">
      <alignment horizontal="right" indent="1"/>
    </xf>
    <xf numFmtId="168" fontId="9" fillId="0" borderId="3" xfId="9">
      <alignment horizontal="center" vertical="center"/>
    </xf>
    <xf numFmtId="0" fontId="9" fillId="3" borderId="2" xfId="12" applyFill="1" applyAlignment="1">
      <alignment horizontal="left" vertical="center"/>
    </xf>
    <xf numFmtId="0" fontId="9" fillId="0" borderId="0" xfId="8" applyAlignment="1">
      <alignment horizontal="right" wrapText="1"/>
    </xf>
    <xf numFmtId="0" fontId="9" fillId="0" borderId="7" xfId="8" applyBorder="1" applyAlignment="1">
      <alignment horizontal="right" wrapText="1"/>
    </xf>
    <xf numFmtId="0" fontId="0" fillId="0" borderId="3" xfId="0" applyBorder="1" applyAlignment="1">
      <alignment horizontal="center" vertical="center" wrapText="1"/>
    </xf>
    <xf numFmtId="0" fontId="0" fillId="0" borderId="0" xfId="0" applyAlignment="1">
      <alignment horizontal="center" vertical="center" wrapText="1"/>
    </xf>
    <xf numFmtId="0" fontId="6" fillId="42" borderId="19" xfId="0" applyFont="1" applyFill="1" applyBorder="1" applyAlignment="1">
      <alignment horizontal="left" vertical="center" indent="1"/>
    </xf>
    <xf numFmtId="0" fontId="9" fillId="42" borderId="19" xfId="11" applyFill="1" applyBorder="1">
      <alignment horizontal="center" vertical="center"/>
    </xf>
    <xf numFmtId="9" fontId="5" fillId="42" borderId="19" xfId="2" applyFont="1" applyFill="1" applyBorder="1" applyAlignment="1">
      <alignment horizontal="center" vertical="center"/>
    </xf>
    <xf numFmtId="170" fontId="0" fillId="42" borderId="19" xfId="0" applyNumberFormat="1" applyFill="1" applyBorder="1" applyAlignment="1">
      <alignment horizontal="center" vertical="center"/>
    </xf>
    <xf numFmtId="170" fontId="5" fillId="42" borderId="19" xfId="0" applyNumberFormat="1" applyFont="1" applyFill="1" applyBorder="1" applyAlignment="1">
      <alignment horizontal="center" vertical="center"/>
    </xf>
    <xf numFmtId="0" fontId="5" fillId="0" borderId="19" xfId="0" applyFont="1" applyBorder="1" applyAlignment="1">
      <alignment horizontal="center" vertical="center"/>
    </xf>
    <xf numFmtId="0" fontId="0" fillId="0" borderId="20" xfId="0" applyBorder="1" applyAlignment="1">
      <alignment vertical="center"/>
    </xf>
    <xf numFmtId="0" fontId="0" fillId="42" borderId="20" xfId="0" applyFill="1" applyBorder="1" applyAlignment="1">
      <alignment vertical="center"/>
    </xf>
    <xf numFmtId="0" fontId="9" fillId="8" borderId="21" xfId="12" applyFill="1" applyBorder="1" applyAlignment="1">
      <alignment horizontal="left" vertical="center" indent="3"/>
    </xf>
    <xf numFmtId="0" fontId="9" fillId="8" borderId="21" xfId="11" applyFill="1" applyBorder="1">
      <alignment horizontal="center" vertical="center"/>
    </xf>
    <xf numFmtId="9" fontId="5" fillId="8" borderId="21" xfId="2" applyFont="1" applyFill="1" applyBorder="1" applyAlignment="1">
      <alignment horizontal="center" vertical="center"/>
    </xf>
    <xf numFmtId="170" fontId="9" fillId="8" borderId="21" xfId="10" applyFill="1" applyBorder="1">
      <alignment horizontal="center" vertical="center"/>
    </xf>
    <xf numFmtId="0" fontId="5" fillId="8" borderId="21" xfId="0" applyFont="1" applyFill="1" applyBorder="1" applyAlignment="1">
      <alignment horizontal="center" vertical="center"/>
    </xf>
    <xf numFmtId="0" fontId="5" fillId="0" borderId="21" xfId="0" applyFont="1" applyBorder="1" applyAlignment="1">
      <alignment horizontal="center" vertical="center"/>
    </xf>
    <xf numFmtId="0" fontId="0" fillId="0" borderId="22" xfId="0" applyBorder="1" applyAlignment="1">
      <alignment vertical="center"/>
    </xf>
    <xf numFmtId="0" fontId="0" fillId="43" borderId="22" xfId="0" applyFill="1" applyBorder="1" applyAlignment="1">
      <alignment vertical="center"/>
    </xf>
    <xf numFmtId="0" fontId="0" fillId="42" borderId="22" xfId="0" applyFill="1" applyBorder="1" applyAlignment="1">
      <alignment vertical="center"/>
    </xf>
    <xf numFmtId="0" fontId="0" fillId="42" borderId="24" xfId="0" applyFill="1" applyBorder="1" applyAlignment="1">
      <alignment vertical="center"/>
    </xf>
    <xf numFmtId="0" fontId="0" fillId="42" borderId="23" xfId="0" applyFill="1" applyBorder="1" applyAlignment="1">
      <alignment vertical="center"/>
    </xf>
    <xf numFmtId="0" fontId="0" fillId="5" borderId="25" xfId="0" applyFill="1" applyBorder="1" applyAlignment="1">
      <alignment horizontal="center" vertical="center"/>
    </xf>
    <xf numFmtId="0" fontId="0" fillId="7" borderId="25" xfId="0" applyFill="1" applyBorder="1" applyAlignment="1">
      <alignment horizontal="center" vertical="center"/>
    </xf>
    <xf numFmtId="0" fontId="12" fillId="9" borderId="26" xfId="0" applyFont="1" applyFill="1" applyBorder="1" applyAlignment="1">
      <alignment horizontal="center" vertical="center" shrinkToFit="1"/>
    </xf>
    <xf numFmtId="171" fontId="11" fillId="6" borderId="27" xfId="0" applyNumberFormat="1" applyFont="1" applyFill="1" applyBorder="1"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2">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EDA92F"/>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Q39"/>
  <sheetViews>
    <sheetView showGridLines="0" tabSelected="1" showRuler="0" zoomScale="70" zoomScaleNormal="70" zoomScalePageLayoutView="70" workbookViewId="0">
      <pane ySplit="5" topLeftCell="A7" activePane="bottomLeft" state="frozen"/>
      <selection pane="bottomLeft" activeCell="BW5" sqref="BW5"/>
    </sheetView>
  </sheetViews>
  <sheetFormatPr baseColWidth="10" defaultColWidth="9.140625" defaultRowHeight="30" customHeight="1" x14ac:dyDescent="0.25"/>
  <cols>
    <col min="1" max="1" width="2.7109375" style="29" customWidth="1"/>
    <col min="2" max="2" width="29.42578125" customWidth="1"/>
    <col min="3" max="3" width="30.7109375" customWidth="1"/>
    <col min="4" max="4" width="10.7109375" customWidth="1"/>
    <col min="5" max="5" width="10.42578125" style="5" customWidth="1"/>
    <col min="6" max="6" width="10.42578125" customWidth="1"/>
    <col min="7" max="7" width="2.140625" customWidth="1"/>
    <col min="8" max="8" width="0.28515625" style="59" customWidth="1"/>
    <col min="9" max="15" width="4.7109375" customWidth="1"/>
    <col min="16" max="16" width="5" style="3" customWidth="1"/>
    <col min="17" max="18" width="5.140625" style="3" customWidth="1"/>
    <col min="19" max="19" width="5.7109375" style="3" customWidth="1"/>
    <col min="20" max="20" width="5.85546875" style="3" customWidth="1"/>
    <col min="21" max="24" width="4.7109375" customWidth="1"/>
    <col min="25" max="25" width="5.7109375" customWidth="1"/>
    <col min="26" max="28" width="4.7109375" customWidth="1"/>
    <col min="29" max="29" width="5.85546875" customWidth="1"/>
    <col min="30" max="30" width="5.7109375" customWidth="1"/>
    <col min="31" max="33" width="4.7109375" customWidth="1"/>
    <col min="34" max="34" width="5" customWidth="1"/>
    <col min="35" max="35" width="8.140625" customWidth="1"/>
    <col min="36" max="39" width="4.7109375" customWidth="1"/>
    <col min="40" max="40" width="8" customWidth="1"/>
    <col min="41" max="41" width="4.7109375" customWidth="1"/>
    <col min="42" max="42" width="5.140625" customWidth="1"/>
    <col min="43" max="60" width="4.7109375" customWidth="1"/>
    <col min="61" max="61" width="6.140625" customWidth="1"/>
    <col min="62" max="62" width="5.42578125" customWidth="1"/>
    <col min="63" max="63" width="4.7109375" customWidth="1"/>
    <col min="64" max="64" width="5.42578125" customWidth="1"/>
    <col min="65" max="65" width="5" customWidth="1"/>
    <col min="66" max="68" width="4.7109375" customWidth="1"/>
    <col min="69" max="69" width="5.140625" customWidth="1"/>
    <col min="70" max="70" width="5" customWidth="1"/>
    <col min="71" max="73" width="4.7109375" customWidth="1"/>
    <col min="74" max="74" width="6.140625" customWidth="1"/>
    <col min="75" max="75" width="5.140625" customWidth="1"/>
    <col min="76" max="79" width="4.7109375" customWidth="1"/>
    <col min="80" max="80" width="7.7109375" customWidth="1"/>
    <col min="81" max="85" width="4.7109375" customWidth="1"/>
  </cols>
  <sheetData>
    <row r="1" spans="1:121" ht="30" customHeight="1" x14ac:dyDescent="0.45">
      <c r="A1" s="30" t="s">
        <v>0</v>
      </c>
      <c r="B1" s="33" t="s">
        <v>18</v>
      </c>
      <c r="C1" s="1"/>
      <c r="D1" s="2"/>
      <c r="E1" s="4"/>
      <c r="F1" s="28"/>
      <c r="H1" s="28"/>
      <c r="I1" s="58"/>
    </row>
    <row r="2" spans="1:121" ht="30" customHeight="1" x14ac:dyDescent="0.25">
      <c r="A2" s="29" t="s">
        <v>1</v>
      </c>
      <c r="B2" s="34"/>
      <c r="C2" s="91" t="s">
        <v>11</v>
      </c>
      <c r="D2" s="92"/>
      <c r="E2" s="93">
        <f>DATE(2025,8,22)</f>
        <v>45891</v>
      </c>
      <c r="F2" s="93"/>
    </row>
    <row r="3" spans="1:121" s="32" customFormat="1" ht="30" customHeight="1" x14ac:dyDescent="0.25">
      <c r="A3" s="30" t="s">
        <v>2</v>
      </c>
      <c r="C3" s="95" t="s">
        <v>12</v>
      </c>
      <c r="D3" s="96"/>
      <c r="E3" s="97">
        <v>1</v>
      </c>
      <c r="H3" s="98"/>
      <c r="I3" s="88">
        <f>I4</f>
        <v>45890</v>
      </c>
      <c r="J3" s="89"/>
      <c r="K3" s="89"/>
      <c r="L3" s="89"/>
      <c r="M3" s="89"/>
      <c r="N3" s="89"/>
      <c r="O3" s="90"/>
      <c r="P3" s="88">
        <f>P4</f>
        <v>45901</v>
      </c>
      <c r="Q3" s="89"/>
      <c r="R3" s="89"/>
      <c r="S3" s="89"/>
      <c r="T3" s="90"/>
      <c r="U3" s="88">
        <f>U4</f>
        <v>45908</v>
      </c>
      <c r="V3" s="89"/>
      <c r="W3" s="89"/>
      <c r="X3" s="89"/>
      <c r="Y3" s="90"/>
      <c r="Z3" s="88">
        <f t="shared" ref="Z3" si="0">Z4</f>
        <v>45915</v>
      </c>
      <c r="AA3" s="89"/>
      <c r="AB3" s="89"/>
      <c r="AC3" s="89"/>
      <c r="AD3" s="90"/>
      <c r="AE3" s="88">
        <f t="shared" ref="AE3" si="1">AE4</f>
        <v>45922</v>
      </c>
      <c r="AF3" s="89"/>
      <c r="AG3" s="89"/>
      <c r="AH3" s="89"/>
      <c r="AI3" s="90"/>
      <c r="AJ3" s="88">
        <f t="shared" ref="AJ3" si="2">AJ4</f>
        <v>45929</v>
      </c>
      <c r="AK3" s="89"/>
      <c r="AL3" s="89"/>
      <c r="AM3" s="89"/>
      <c r="AN3" s="90"/>
      <c r="AO3" s="88">
        <f>AO4</f>
        <v>45936</v>
      </c>
      <c r="AP3" s="89"/>
      <c r="AQ3" s="89"/>
      <c r="AR3" s="89"/>
      <c r="AS3" s="90"/>
      <c r="AT3" s="88">
        <f t="shared" ref="AT3" si="3">AT4</f>
        <v>45943</v>
      </c>
      <c r="AU3" s="89"/>
      <c r="AV3" s="89"/>
      <c r="AW3" s="89"/>
      <c r="AX3" s="90"/>
      <c r="AY3" s="88">
        <f t="shared" ref="AY3" si="4">AY4</f>
        <v>45950</v>
      </c>
      <c r="AZ3" s="89"/>
      <c r="BA3" s="89"/>
      <c r="BB3" s="89"/>
      <c r="BC3" s="90"/>
      <c r="BD3" s="88">
        <f t="shared" ref="BD3" si="5">BD4</f>
        <v>45957</v>
      </c>
      <c r="BE3" s="89"/>
      <c r="BF3" s="89"/>
      <c r="BG3" s="89"/>
      <c r="BH3" s="90"/>
      <c r="BI3" s="88">
        <f t="shared" ref="BI3" si="6">BI4</f>
        <v>45964</v>
      </c>
      <c r="BJ3" s="89"/>
      <c r="BK3" s="89"/>
      <c r="BL3" s="89"/>
      <c r="BM3" s="90"/>
      <c r="BN3" s="88">
        <f t="shared" ref="BN3" si="7">BN4</f>
        <v>45971</v>
      </c>
      <c r="BO3" s="89"/>
      <c r="BP3" s="89"/>
      <c r="BQ3" s="89"/>
      <c r="BR3" s="90"/>
      <c r="BS3" s="88">
        <f t="shared" ref="BS3" si="8">BS4</f>
        <v>45978</v>
      </c>
      <c r="BT3" s="89"/>
      <c r="BU3" s="89"/>
      <c r="BV3" s="89"/>
      <c r="BW3" s="90"/>
      <c r="BX3" s="88">
        <f t="shared" ref="BX3" si="9">BX4</f>
        <v>45985</v>
      </c>
      <c r="BY3" s="89"/>
      <c r="BZ3" s="89"/>
      <c r="CA3" s="89"/>
      <c r="CB3" s="90"/>
      <c r="CC3" s="88">
        <f t="shared" ref="CC3" si="10">CC4</f>
        <v>45992</v>
      </c>
      <c r="CD3" s="89"/>
      <c r="CE3" s="89"/>
      <c r="CF3" s="89"/>
      <c r="CG3" s="90"/>
    </row>
    <row r="4" spans="1:121" ht="15" customHeight="1" x14ac:dyDescent="0.25">
      <c r="A4" s="30" t="s">
        <v>3</v>
      </c>
      <c r="B4" s="43"/>
      <c r="C4" s="43"/>
      <c r="D4" s="43"/>
      <c r="E4" s="43"/>
      <c r="F4" s="43"/>
      <c r="G4" s="43"/>
      <c r="I4" s="57">
        <f t="shared" ref="I4:AN4" si="11">WORKDAY(Inicio_del_proyecto-1, (Semana_para_mostrar-1)*5 + COLUMN(A1)-1)</f>
        <v>45890</v>
      </c>
      <c r="J4" s="57">
        <f t="shared" si="11"/>
        <v>45891</v>
      </c>
      <c r="K4" s="57">
        <f>WORKDAY(Inicio_del_proyecto-1, (Semana_para_mostrar-1)*5 + COLUMN(C1)-1)</f>
        <v>45894</v>
      </c>
      <c r="L4" s="57">
        <f t="shared" si="11"/>
        <v>45895</v>
      </c>
      <c r="M4" s="57">
        <f t="shared" si="11"/>
        <v>45896</v>
      </c>
      <c r="N4" s="57">
        <f t="shared" si="11"/>
        <v>45897</v>
      </c>
      <c r="O4" s="57">
        <f t="shared" si="11"/>
        <v>45898</v>
      </c>
      <c r="P4" s="51">
        <f t="shared" si="11"/>
        <v>45901</v>
      </c>
      <c r="Q4" s="51">
        <f t="shared" si="11"/>
        <v>45902</v>
      </c>
      <c r="R4" s="51">
        <f t="shared" si="11"/>
        <v>45903</v>
      </c>
      <c r="S4" s="51">
        <f t="shared" si="11"/>
        <v>45904</v>
      </c>
      <c r="T4" s="51">
        <f t="shared" si="11"/>
        <v>45905</v>
      </c>
      <c r="U4" s="51">
        <f t="shared" si="11"/>
        <v>45908</v>
      </c>
      <c r="V4" s="51">
        <f t="shared" si="11"/>
        <v>45909</v>
      </c>
      <c r="W4" s="51">
        <f t="shared" si="11"/>
        <v>45910</v>
      </c>
      <c r="X4" s="51">
        <f t="shared" si="11"/>
        <v>45911</v>
      </c>
      <c r="Y4" s="51">
        <f t="shared" si="11"/>
        <v>45912</v>
      </c>
      <c r="Z4" s="51">
        <f t="shared" si="11"/>
        <v>45915</v>
      </c>
      <c r="AA4" s="51">
        <f t="shared" si="11"/>
        <v>45916</v>
      </c>
      <c r="AB4" s="51">
        <f t="shared" si="11"/>
        <v>45917</v>
      </c>
      <c r="AC4" s="69">
        <f t="shared" si="11"/>
        <v>45918</v>
      </c>
      <c r="AD4" s="69">
        <f t="shared" si="11"/>
        <v>45919</v>
      </c>
      <c r="AE4" s="51">
        <f t="shared" si="11"/>
        <v>45922</v>
      </c>
      <c r="AF4" s="51">
        <f t="shared" si="11"/>
        <v>45923</v>
      </c>
      <c r="AG4" s="51">
        <f t="shared" si="11"/>
        <v>45924</v>
      </c>
      <c r="AH4" s="51">
        <f t="shared" si="11"/>
        <v>45925</v>
      </c>
      <c r="AI4" s="51">
        <f t="shared" si="11"/>
        <v>45926</v>
      </c>
      <c r="AJ4" s="51">
        <f t="shared" si="11"/>
        <v>45929</v>
      </c>
      <c r="AK4" s="51">
        <f t="shared" si="11"/>
        <v>45930</v>
      </c>
      <c r="AL4" s="51">
        <f t="shared" si="11"/>
        <v>45931</v>
      </c>
      <c r="AM4" s="51">
        <f t="shared" si="11"/>
        <v>45932</v>
      </c>
      <c r="AN4" s="51">
        <f t="shared" si="11"/>
        <v>45933</v>
      </c>
      <c r="AO4" s="51">
        <f t="shared" ref="AO4:BT4" si="12">WORKDAY(Inicio_del_proyecto-1, (Semana_para_mostrar-1)*5 + COLUMN(AG1)-1)</f>
        <v>45936</v>
      </c>
      <c r="AP4" s="51">
        <f t="shared" si="12"/>
        <v>45937</v>
      </c>
      <c r="AQ4" s="51">
        <f t="shared" si="12"/>
        <v>45938</v>
      </c>
      <c r="AR4" s="51">
        <f t="shared" si="12"/>
        <v>45939</v>
      </c>
      <c r="AS4" s="51">
        <f t="shared" si="12"/>
        <v>45940</v>
      </c>
      <c r="AT4" s="51">
        <f t="shared" si="12"/>
        <v>45943</v>
      </c>
      <c r="AU4" s="51">
        <f t="shared" si="12"/>
        <v>45944</v>
      </c>
      <c r="AV4" s="51">
        <f t="shared" si="12"/>
        <v>45945</v>
      </c>
      <c r="AW4" s="51">
        <f t="shared" si="12"/>
        <v>45946</v>
      </c>
      <c r="AX4" s="51">
        <f t="shared" si="12"/>
        <v>45947</v>
      </c>
      <c r="AY4" s="51">
        <f t="shared" si="12"/>
        <v>45950</v>
      </c>
      <c r="AZ4" s="51">
        <f t="shared" si="12"/>
        <v>45951</v>
      </c>
      <c r="BA4" s="51">
        <f t="shared" si="12"/>
        <v>45952</v>
      </c>
      <c r="BB4" s="51">
        <f t="shared" si="12"/>
        <v>45953</v>
      </c>
      <c r="BC4" s="51">
        <f t="shared" si="12"/>
        <v>45954</v>
      </c>
      <c r="BD4" s="51">
        <f t="shared" si="12"/>
        <v>45957</v>
      </c>
      <c r="BE4" s="51">
        <f t="shared" si="12"/>
        <v>45958</v>
      </c>
      <c r="BF4" s="51">
        <f t="shared" si="12"/>
        <v>45959</v>
      </c>
      <c r="BG4" s="51">
        <f t="shared" si="12"/>
        <v>45960</v>
      </c>
      <c r="BH4" s="69">
        <f t="shared" si="12"/>
        <v>45961</v>
      </c>
      <c r="BI4" s="51">
        <f t="shared" si="12"/>
        <v>45964</v>
      </c>
      <c r="BJ4" s="51">
        <f t="shared" si="12"/>
        <v>45965</v>
      </c>
      <c r="BK4" s="51">
        <f t="shared" si="12"/>
        <v>45966</v>
      </c>
      <c r="BL4" s="51">
        <f t="shared" si="12"/>
        <v>45967</v>
      </c>
      <c r="BM4" s="51">
        <f t="shared" si="12"/>
        <v>45968</v>
      </c>
      <c r="BN4" s="51">
        <f t="shared" si="12"/>
        <v>45971</v>
      </c>
      <c r="BO4" s="51">
        <f t="shared" si="12"/>
        <v>45972</v>
      </c>
      <c r="BP4" s="51">
        <f t="shared" si="12"/>
        <v>45973</v>
      </c>
      <c r="BQ4" s="51">
        <f t="shared" si="12"/>
        <v>45974</v>
      </c>
      <c r="BR4" s="51">
        <f t="shared" si="12"/>
        <v>45975</v>
      </c>
      <c r="BS4" s="51">
        <f t="shared" si="12"/>
        <v>45978</v>
      </c>
      <c r="BT4" s="51">
        <f t="shared" si="12"/>
        <v>45979</v>
      </c>
      <c r="BU4" s="51">
        <f t="shared" ref="BU4:CG4" si="13">WORKDAY(Inicio_del_proyecto-1, (Semana_para_mostrar-1)*5 + COLUMN(BM1)-1)</f>
        <v>45980</v>
      </c>
      <c r="BV4" s="51">
        <f t="shared" si="13"/>
        <v>45981</v>
      </c>
      <c r="BW4" s="51">
        <f t="shared" si="13"/>
        <v>45982</v>
      </c>
      <c r="BX4" s="51">
        <f t="shared" si="13"/>
        <v>45985</v>
      </c>
      <c r="BY4" s="51">
        <f t="shared" si="13"/>
        <v>45986</v>
      </c>
      <c r="BZ4" s="51">
        <f t="shared" si="13"/>
        <v>45987</v>
      </c>
      <c r="CA4" s="51">
        <f t="shared" si="13"/>
        <v>45988</v>
      </c>
      <c r="CB4" s="51">
        <f t="shared" si="13"/>
        <v>45989</v>
      </c>
      <c r="CC4" s="51">
        <f t="shared" si="13"/>
        <v>45992</v>
      </c>
      <c r="CD4" s="51">
        <f t="shared" si="13"/>
        <v>45993</v>
      </c>
      <c r="CE4" s="51">
        <f t="shared" si="13"/>
        <v>45994</v>
      </c>
      <c r="CF4" s="51">
        <f t="shared" si="13"/>
        <v>45995</v>
      </c>
      <c r="CG4" s="121">
        <f t="shared" si="13"/>
        <v>45996</v>
      </c>
    </row>
    <row r="5" spans="1:121" ht="30" customHeight="1" thickBot="1" x14ac:dyDescent="0.3">
      <c r="A5" s="30" t="s">
        <v>4</v>
      </c>
      <c r="B5" s="7" t="s">
        <v>10</v>
      </c>
      <c r="C5" s="8" t="s">
        <v>13</v>
      </c>
      <c r="D5" s="8" t="s">
        <v>14</v>
      </c>
      <c r="E5" s="8" t="s">
        <v>15</v>
      </c>
      <c r="F5" s="8" t="s">
        <v>16</v>
      </c>
      <c r="G5" s="8"/>
      <c r="H5" s="8" t="s">
        <v>17</v>
      </c>
      <c r="I5" s="9" t="str">
        <f t="shared" ref="I5" si="14">LEFT(TEXT(I4,"ddd"),1)</f>
        <v>j</v>
      </c>
      <c r="J5" s="9" t="str">
        <f t="shared" ref="J5:AR5" si="15">LEFT(TEXT(J4,"ddd"),1)</f>
        <v>v</v>
      </c>
      <c r="K5" s="9" t="str">
        <f t="shared" si="15"/>
        <v>l</v>
      </c>
      <c r="L5" s="9" t="str">
        <f t="shared" si="15"/>
        <v>m</v>
      </c>
      <c r="M5" s="9" t="str">
        <f t="shared" si="15"/>
        <v>m</v>
      </c>
      <c r="N5" s="9" t="str">
        <f t="shared" si="15"/>
        <v>j</v>
      </c>
      <c r="O5" s="9" t="str">
        <f t="shared" si="15"/>
        <v>v</v>
      </c>
      <c r="P5" s="9" t="str">
        <f>LEFT(TEXT(P4,"ddd"),1)</f>
        <v>l</v>
      </c>
      <c r="Q5" s="9" t="str">
        <f>LEFT(TEXT(Q4,"ddd"),1)</f>
        <v>m</v>
      </c>
      <c r="R5" s="9" t="str">
        <f>LEFT(TEXT(R4,"ddd"),1)</f>
        <v>m</v>
      </c>
      <c r="S5" s="9" t="str">
        <f>LEFT(TEXT(S4,"ddd"),1)</f>
        <v>j</v>
      </c>
      <c r="T5" s="9" t="str">
        <f>LEFT(TEXT(T4,"ddd"),1)</f>
        <v>v</v>
      </c>
      <c r="U5" s="9" t="str">
        <f t="shared" si="15"/>
        <v>l</v>
      </c>
      <c r="V5" s="9" t="str">
        <f t="shared" si="15"/>
        <v>m</v>
      </c>
      <c r="W5" s="9" t="str">
        <f t="shared" si="15"/>
        <v>m</v>
      </c>
      <c r="X5" s="9" t="str">
        <f t="shared" si="15"/>
        <v>j</v>
      </c>
      <c r="Y5" s="9" t="str">
        <f t="shared" si="15"/>
        <v>v</v>
      </c>
      <c r="Z5" s="9" t="str">
        <f t="shared" si="15"/>
        <v>l</v>
      </c>
      <c r="AA5" s="9" t="str">
        <f t="shared" si="15"/>
        <v>m</v>
      </c>
      <c r="AB5" s="9" t="str">
        <f t="shared" si="15"/>
        <v>m</v>
      </c>
      <c r="AC5" s="9" t="str">
        <f t="shared" si="15"/>
        <v>j</v>
      </c>
      <c r="AD5" s="9" t="str">
        <f t="shared" si="15"/>
        <v>v</v>
      </c>
      <c r="AE5" s="9" t="str">
        <f t="shared" si="15"/>
        <v>l</v>
      </c>
      <c r="AF5" s="9" t="str">
        <f t="shared" si="15"/>
        <v>m</v>
      </c>
      <c r="AG5" s="9" t="str">
        <f t="shared" si="15"/>
        <v>m</v>
      </c>
      <c r="AH5" s="9" t="str">
        <f t="shared" si="15"/>
        <v>j</v>
      </c>
      <c r="AI5" s="9" t="str">
        <f t="shared" si="15"/>
        <v>v</v>
      </c>
      <c r="AJ5" s="9" t="str">
        <f t="shared" si="15"/>
        <v>l</v>
      </c>
      <c r="AK5" s="9" t="str">
        <f t="shared" si="15"/>
        <v>m</v>
      </c>
      <c r="AL5" s="9" t="str">
        <f t="shared" si="15"/>
        <v>m</v>
      </c>
      <c r="AM5" s="9" t="str">
        <f t="shared" si="15"/>
        <v>j</v>
      </c>
      <c r="AN5" s="9" t="str">
        <f t="shared" si="15"/>
        <v>v</v>
      </c>
      <c r="AO5" s="9" t="str">
        <f t="shared" si="15"/>
        <v>l</v>
      </c>
      <c r="AP5" s="9" t="str">
        <f t="shared" si="15"/>
        <v>m</v>
      </c>
      <c r="AQ5" s="9" t="str">
        <f t="shared" si="15"/>
        <v>m</v>
      </c>
      <c r="AR5" s="9" t="str">
        <f t="shared" si="15"/>
        <v>j</v>
      </c>
      <c r="AS5" s="9" t="str">
        <f t="shared" ref="AS5:CG5" si="16">LEFT(TEXT(AS4,"ddd"),1)</f>
        <v>v</v>
      </c>
      <c r="AT5" s="9" t="str">
        <f t="shared" si="16"/>
        <v>l</v>
      </c>
      <c r="AU5" s="9" t="str">
        <f t="shared" si="16"/>
        <v>m</v>
      </c>
      <c r="AV5" s="9" t="str">
        <f t="shared" si="16"/>
        <v>m</v>
      </c>
      <c r="AW5" s="9" t="str">
        <f t="shared" si="16"/>
        <v>j</v>
      </c>
      <c r="AX5" s="9" t="str">
        <f t="shared" si="16"/>
        <v>v</v>
      </c>
      <c r="AY5" s="9" t="str">
        <f t="shared" si="16"/>
        <v>l</v>
      </c>
      <c r="AZ5" s="9" t="str">
        <f t="shared" si="16"/>
        <v>m</v>
      </c>
      <c r="BA5" s="9" t="str">
        <f t="shared" si="16"/>
        <v>m</v>
      </c>
      <c r="BB5" s="9" t="str">
        <f t="shared" si="16"/>
        <v>j</v>
      </c>
      <c r="BC5" s="9" t="str">
        <f t="shared" si="16"/>
        <v>v</v>
      </c>
      <c r="BD5" s="9" t="str">
        <f t="shared" si="16"/>
        <v>l</v>
      </c>
      <c r="BE5" s="9" t="str">
        <f t="shared" si="16"/>
        <v>m</v>
      </c>
      <c r="BF5" s="9" t="str">
        <f t="shared" si="16"/>
        <v>m</v>
      </c>
      <c r="BG5" s="9" t="str">
        <f t="shared" si="16"/>
        <v>j</v>
      </c>
      <c r="BH5" s="9" t="str">
        <f t="shared" si="16"/>
        <v>v</v>
      </c>
      <c r="BI5" s="9" t="str">
        <f t="shared" si="16"/>
        <v>l</v>
      </c>
      <c r="BJ5" s="9" t="str">
        <f t="shared" si="16"/>
        <v>m</v>
      </c>
      <c r="BK5" s="9" t="str">
        <f t="shared" si="16"/>
        <v>m</v>
      </c>
      <c r="BL5" s="9" t="str">
        <f t="shared" si="16"/>
        <v>j</v>
      </c>
      <c r="BM5" s="9" t="str">
        <f t="shared" si="16"/>
        <v>v</v>
      </c>
      <c r="BN5" s="9" t="str">
        <f t="shared" si="16"/>
        <v>l</v>
      </c>
      <c r="BO5" s="9" t="str">
        <f t="shared" si="16"/>
        <v>m</v>
      </c>
      <c r="BP5" s="9" t="str">
        <f t="shared" si="16"/>
        <v>m</v>
      </c>
      <c r="BQ5" s="9" t="str">
        <f t="shared" si="16"/>
        <v>j</v>
      </c>
      <c r="BR5" s="9" t="str">
        <f t="shared" si="16"/>
        <v>v</v>
      </c>
      <c r="BS5" s="9" t="str">
        <f t="shared" si="16"/>
        <v>l</v>
      </c>
      <c r="BT5" s="9" t="str">
        <f t="shared" si="16"/>
        <v>m</v>
      </c>
      <c r="BU5" s="9" t="str">
        <f t="shared" si="16"/>
        <v>m</v>
      </c>
      <c r="BV5" s="9" t="str">
        <f t="shared" si="16"/>
        <v>j</v>
      </c>
      <c r="BW5" s="9" t="str">
        <f t="shared" si="16"/>
        <v>v</v>
      </c>
      <c r="BX5" s="9" t="str">
        <f t="shared" si="16"/>
        <v>l</v>
      </c>
      <c r="BY5" s="9" t="str">
        <f t="shared" si="16"/>
        <v>m</v>
      </c>
      <c r="BZ5" s="9" t="str">
        <f t="shared" si="16"/>
        <v>m</v>
      </c>
      <c r="CA5" s="9" t="str">
        <f t="shared" si="16"/>
        <v>j</v>
      </c>
      <c r="CB5" s="9" t="str">
        <f t="shared" si="16"/>
        <v>v</v>
      </c>
      <c r="CC5" s="9" t="str">
        <f t="shared" si="16"/>
        <v>l</v>
      </c>
      <c r="CD5" s="9" t="str">
        <f t="shared" si="16"/>
        <v>m</v>
      </c>
      <c r="CE5" s="9" t="str">
        <f t="shared" si="16"/>
        <v>m</v>
      </c>
      <c r="CF5" s="9" t="str">
        <f t="shared" si="16"/>
        <v>j</v>
      </c>
      <c r="CG5" s="120" t="str">
        <f t="shared" si="16"/>
        <v>v</v>
      </c>
      <c r="CJ5" t="s">
        <v>22</v>
      </c>
    </row>
    <row r="6" spans="1:121" ht="30" hidden="1" customHeight="1" thickBot="1" x14ac:dyDescent="0.3">
      <c r="A6" s="29" t="s">
        <v>5</v>
      </c>
      <c r="C6" s="32"/>
      <c r="E6"/>
      <c r="H6" s="59" t="str">
        <f>IF(OR(ISBLANK(task_start),ISBLANK(task_end)),"",task_end-task_start+1)</f>
        <v/>
      </c>
      <c r="I6" s="25"/>
      <c r="J6" s="25"/>
      <c r="K6" s="25"/>
      <c r="L6" s="25"/>
      <c r="M6" s="25"/>
      <c r="N6" s="25"/>
      <c r="O6" s="25"/>
      <c r="P6" s="25"/>
      <c r="Q6" s="25"/>
      <c r="R6" s="25"/>
      <c r="S6" s="25"/>
      <c r="T6" s="25"/>
      <c r="U6" s="25"/>
      <c r="V6" s="25"/>
      <c r="W6" s="25"/>
      <c r="X6" s="25"/>
      <c r="Y6" s="25"/>
      <c r="Z6" s="25"/>
      <c r="AA6" s="25"/>
      <c r="AB6" s="25"/>
      <c r="AC6" s="25"/>
      <c r="AD6" s="25"/>
      <c r="AE6" s="25"/>
      <c r="AF6" s="25"/>
      <c r="AG6" s="25"/>
      <c r="AH6" s="25"/>
      <c r="AI6" s="25"/>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c r="BS6" s="25"/>
      <c r="BT6" s="25"/>
      <c r="BU6" s="25"/>
      <c r="BV6" s="25"/>
      <c r="BW6" s="25"/>
      <c r="BX6" s="25"/>
      <c r="BY6" s="25"/>
      <c r="BZ6" s="25"/>
      <c r="CA6" s="25"/>
      <c r="CB6" s="25"/>
      <c r="CC6" s="25"/>
      <c r="CD6" s="25"/>
      <c r="CE6" s="25"/>
      <c r="CF6" s="25"/>
      <c r="CG6" s="25"/>
    </row>
    <row r="7" spans="1:121" s="79" customFormat="1" ht="30" customHeight="1" thickBot="1" x14ac:dyDescent="0.3">
      <c r="A7" s="71"/>
      <c r="B7" s="72" t="s">
        <v>19</v>
      </c>
      <c r="C7" s="73"/>
      <c r="D7" s="74"/>
      <c r="E7" s="75"/>
      <c r="F7" s="76"/>
      <c r="G7" s="77"/>
      <c r="H7" s="77" t="str">
        <f t="shared" ref="H7:H35" si="17">IF(OR(ISBLANK(task_start),ISBLANK(task_end)),"",task_end-task_start+1)</f>
        <v/>
      </c>
      <c r="I7" s="81"/>
      <c r="J7" s="82"/>
      <c r="K7" s="82"/>
      <c r="L7" s="82"/>
      <c r="M7" s="82"/>
      <c r="N7" s="82"/>
      <c r="O7" s="82"/>
      <c r="P7" s="82"/>
      <c r="Q7" s="82"/>
      <c r="R7" s="82"/>
      <c r="S7" s="82"/>
      <c r="T7" s="82"/>
      <c r="U7" s="82"/>
      <c r="V7" s="82"/>
      <c r="W7" s="82"/>
      <c r="X7" s="82"/>
      <c r="Y7" s="82"/>
      <c r="Z7" s="82"/>
      <c r="AA7" s="82"/>
      <c r="AB7" s="82"/>
      <c r="AC7" s="82"/>
      <c r="AD7" s="82"/>
      <c r="AE7" s="82"/>
      <c r="AF7" s="82"/>
      <c r="AG7" s="82"/>
      <c r="AH7" s="82"/>
      <c r="AI7" s="82"/>
      <c r="AJ7" s="82"/>
      <c r="AK7" s="82"/>
      <c r="AL7" s="82"/>
      <c r="AM7" s="82"/>
      <c r="AN7" s="82"/>
      <c r="AO7" s="82"/>
      <c r="AP7" s="82"/>
      <c r="AQ7" s="82"/>
      <c r="AR7" s="82"/>
      <c r="AS7" s="82"/>
      <c r="AT7" s="82"/>
      <c r="AU7" s="82"/>
      <c r="AV7" s="82"/>
      <c r="AW7" s="82"/>
      <c r="AX7" s="82"/>
      <c r="AY7" s="82"/>
      <c r="AZ7" s="82"/>
      <c r="BA7" s="82"/>
      <c r="BB7" s="82"/>
      <c r="BC7" s="82"/>
      <c r="BD7" s="82"/>
      <c r="BE7" s="82"/>
      <c r="BF7" s="82"/>
      <c r="BG7" s="82"/>
      <c r="BH7" s="82"/>
      <c r="BI7" s="82"/>
      <c r="BJ7" s="82"/>
      <c r="BK7" s="82"/>
      <c r="BL7" s="82"/>
      <c r="BM7" s="82"/>
      <c r="BN7" s="82"/>
      <c r="BO7" s="82"/>
      <c r="BP7" s="82"/>
      <c r="BQ7" s="82"/>
      <c r="BR7" s="82"/>
      <c r="BS7" s="82"/>
      <c r="BT7" s="82"/>
      <c r="BU7" s="82"/>
      <c r="BV7" s="82"/>
      <c r="BW7" s="82"/>
      <c r="BX7" s="82"/>
      <c r="BY7" s="82"/>
      <c r="BZ7" s="82"/>
      <c r="CA7" s="82"/>
      <c r="CB7" s="82"/>
      <c r="CC7" s="82"/>
      <c r="CD7" s="82"/>
      <c r="CE7" s="82"/>
      <c r="CF7" s="82"/>
      <c r="CG7" s="83"/>
      <c r="CH7" s="78"/>
      <c r="CI7" s="78"/>
      <c r="CJ7" s="78"/>
      <c r="CK7" s="78"/>
      <c r="CL7" s="78"/>
      <c r="CM7" s="78"/>
      <c r="CN7" s="78"/>
      <c r="CO7" s="78"/>
      <c r="CP7" s="78"/>
      <c r="CQ7" s="78"/>
      <c r="CR7" s="78"/>
      <c r="CS7" s="78"/>
      <c r="CT7" s="78"/>
      <c r="CU7" s="78"/>
      <c r="CV7" s="78"/>
      <c r="CW7" s="78"/>
      <c r="CX7" s="78"/>
      <c r="CY7" s="78"/>
      <c r="CZ7" s="78"/>
      <c r="DA7" s="78"/>
      <c r="DB7" s="78"/>
      <c r="DC7" s="78"/>
      <c r="DD7" s="78"/>
      <c r="DE7" s="78"/>
      <c r="DF7" s="78"/>
      <c r="DG7" s="78"/>
      <c r="DH7" s="78"/>
      <c r="DI7" s="78"/>
      <c r="DJ7" s="78"/>
      <c r="DK7" s="78"/>
      <c r="DL7" s="78"/>
      <c r="DM7" s="78"/>
      <c r="DN7" s="78"/>
      <c r="DO7" s="78"/>
      <c r="DP7" s="78"/>
      <c r="DQ7" s="78"/>
    </row>
    <row r="8" spans="1:121" s="3" customFormat="1" ht="30" customHeight="1" thickBot="1" x14ac:dyDescent="0.3">
      <c r="A8" s="30" t="s">
        <v>6</v>
      </c>
      <c r="B8" s="94" t="s">
        <v>30</v>
      </c>
      <c r="C8" s="35"/>
      <c r="D8" s="14">
        <v>1</v>
      </c>
      <c r="E8" s="52">
        <v>45891</v>
      </c>
      <c r="F8" s="52">
        <v>45897</v>
      </c>
      <c r="G8" s="64"/>
      <c r="H8" s="13">
        <f>IF(OR(ISBLANK(task_start),ISBLANK(task_end)),"",task_end-task_start+1)</f>
        <v>7</v>
      </c>
      <c r="I8" s="25"/>
      <c r="J8" s="25"/>
      <c r="K8" s="25"/>
      <c r="L8" s="25"/>
      <c r="M8" s="25"/>
      <c r="N8" s="25"/>
      <c r="O8" s="25"/>
      <c r="P8" s="25"/>
      <c r="Q8" s="25"/>
      <c r="R8" s="25"/>
      <c r="S8" s="25"/>
      <c r="T8" s="25"/>
      <c r="U8" s="26"/>
      <c r="V8" s="26"/>
      <c r="W8" s="25"/>
      <c r="X8" s="25"/>
      <c r="Y8" s="25"/>
      <c r="Z8" s="25"/>
      <c r="AA8" s="25"/>
      <c r="AB8" s="25"/>
      <c r="AC8" s="70"/>
      <c r="AD8" s="70"/>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70"/>
      <c r="BI8" s="25"/>
      <c r="BJ8" s="25"/>
      <c r="BK8" s="25"/>
      <c r="BL8" s="25"/>
      <c r="BM8" s="25"/>
      <c r="BN8" s="25"/>
      <c r="BO8" s="25"/>
      <c r="BP8" s="25"/>
      <c r="BQ8" s="55"/>
      <c r="BR8" s="55"/>
      <c r="BS8" s="55"/>
      <c r="BT8" s="55"/>
      <c r="BU8" s="55"/>
      <c r="BV8" s="55"/>
      <c r="BW8" s="55"/>
      <c r="BX8" s="55"/>
      <c r="BY8" s="56"/>
      <c r="BZ8" s="56"/>
      <c r="CA8" s="55"/>
      <c r="CB8" s="55"/>
      <c r="CC8" s="55"/>
      <c r="CD8" s="55"/>
      <c r="CE8" s="55"/>
      <c r="CF8" s="55"/>
      <c r="CG8" s="55"/>
      <c r="CH8"/>
      <c r="CI8"/>
      <c r="CJ8"/>
      <c r="CK8"/>
      <c r="CL8"/>
      <c r="CM8"/>
      <c r="CN8"/>
      <c r="CO8"/>
      <c r="CP8"/>
      <c r="CQ8"/>
      <c r="CR8"/>
      <c r="CS8"/>
      <c r="CT8"/>
      <c r="CU8"/>
      <c r="CV8"/>
      <c r="CW8"/>
      <c r="CX8"/>
      <c r="CY8"/>
      <c r="CZ8"/>
      <c r="DA8"/>
      <c r="DB8"/>
      <c r="DC8"/>
      <c r="DD8"/>
      <c r="DE8"/>
      <c r="DF8"/>
      <c r="DG8"/>
      <c r="DH8"/>
      <c r="DI8"/>
      <c r="DJ8"/>
      <c r="DK8"/>
      <c r="DL8"/>
      <c r="DM8"/>
      <c r="DN8"/>
      <c r="DO8"/>
      <c r="DP8"/>
      <c r="DQ8"/>
    </row>
    <row r="9" spans="1:121" s="3" customFormat="1" ht="30" customHeight="1" thickBot="1" x14ac:dyDescent="0.3">
      <c r="A9" s="30"/>
      <c r="B9" s="94" t="s">
        <v>31</v>
      </c>
      <c r="C9" s="35"/>
      <c r="D9" s="14">
        <v>1</v>
      </c>
      <c r="E9" s="52">
        <v>45895</v>
      </c>
      <c r="F9" s="52">
        <v>45901</v>
      </c>
      <c r="G9" s="64"/>
      <c r="H9" s="13"/>
      <c r="I9" s="25"/>
      <c r="J9" s="25"/>
      <c r="K9" s="25"/>
      <c r="L9" s="25"/>
      <c r="M9" s="25"/>
      <c r="N9" s="25"/>
      <c r="O9" s="25"/>
      <c r="P9" s="25"/>
      <c r="Q9" s="25"/>
      <c r="R9" s="25"/>
      <c r="S9" s="25"/>
      <c r="T9" s="25"/>
      <c r="U9" s="26"/>
      <c r="V9" s="26"/>
      <c r="W9" s="25"/>
      <c r="X9" s="25"/>
      <c r="Y9" s="25"/>
      <c r="Z9" s="25"/>
      <c r="AA9" s="25"/>
      <c r="AB9" s="25"/>
      <c r="AC9" s="70"/>
      <c r="AD9" s="70"/>
      <c r="AE9" s="25"/>
      <c r="AF9" s="25"/>
      <c r="AG9" s="25"/>
      <c r="AH9" s="25"/>
      <c r="AI9" s="25"/>
      <c r="AJ9" s="25"/>
      <c r="AK9" s="25"/>
      <c r="AL9" s="25"/>
      <c r="AM9" s="25"/>
      <c r="AN9" s="25"/>
      <c r="AO9" s="25"/>
      <c r="AP9" s="25"/>
      <c r="AQ9" s="25"/>
      <c r="AR9" s="25"/>
      <c r="AS9" s="25"/>
      <c r="AT9" s="25"/>
      <c r="AU9" s="25"/>
      <c r="AV9" s="25"/>
      <c r="AW9" s="25"/>
      <c r="AX9" s="25"/>
      <c r="AY9" s="25"/>
      <c r="AZ9" s="25"/>
      <c r="BA9" s="25"/>
      <c r="BB9" s="25"/>
      <c r="BC9" s="25"/>
      <c r="BD9" s="25"/>
      <c r="BE9" s="25"/>
      <c r="BF9" s="25"/>
      <c r="BG9" s="25"/>
      <c r="BH9" s="70"/>
      <c r="BI9" s="25"/>
      <c r="BJ9" s="25"/>
      <c r="BK9" s="25"/>
      <c r="BL9" s="25"/>
      <c r="BM9" s="25"/>
      <c r="BN9" s="25"/>
      <c r="BO9" s="25"/>
      <c r="BP9" s="25"/>
      <c r="BQ9" s="55"/>
      <c r="BR9" s="55"/>
      <c r="BS9" s="55"/>
      <c r="BT9" s="55"/>
      <c r="BU9" s="55"/>
      <c r="BV9" s="55"/>
      <c r="BW9" s="55"/>
      <c r="BX9" s="55"/>
      <c r="BY9" s="56"/>
      <c r="BZ9" s="56"/>
      <c r="CA9" s="55"/>
      <c r="CB9" s="55"/>
      <c r="CC9" s="55"/>
      <c r="CD9" s="55"/>
      <c r="CE9" s="55"/>
      <c r="CF9" s="55"/>
      <c r="CG9" s="55"/>
      <c r="CH9"/>
      <c r="CI9"/>
      <c r="CJ9"/>
      <c r="CK9"/>
      <c r="CL9"/>
      <c r="CM9"/>
      <c r="CN9"/>
      <c r="CO9"/>
      <c r="CP9"/>
      <c r="CQ9"/>
      <c r="CR9"/>
      <c r="CS9"/>
      <c r="CT9"/>
      <c r="CU9"/>
      <c r="CV9"/>
      <c r="CW9"/>
      <c r="CX9"/>
      <c r="CY9"/>
      <c r="CZ9"/>
      <c r="DA9"/>
      <c r="DB9"/>
      <c r="DC9"/>
      <c r="DD9"/>
      <c r="DE9"/>
      <c r="DF9"/>
      <c r="DG9"/>
      <c r="DH9"/>
      <c r="DI9"/>
      <c r="DJ9"/>
      <c r="DK9"/>
      <c r="DL9"/>
      <c r="DM9"/>
      <c r="DN9"/>
      <c r="DO9"/>
      <c r="DP9"/>
      <c r="DQ9"/>
    </row>
    <row r="10" spans="1:121" s="3" customFormat="1" ht="30" customHeight="1" thickBot="1" x14ac:dyDescent="0.3">
      <c r="A10" s="29"/>
      <c r="B10" s="94" t="s">
        <v>32</v>
      </c>
      <c r="C10" s="35"/>
      <c r="D10" s="14">
        <v>1</v>
      </c>
      <c r="E10" s="52">
        <v>45896</v>
      </c>
      <c r="F10" s="52">
        <f>E10+7</f>
        <v>45903</v>
      </c>
      <c r="G10" s="64"/>
      <c r="H10" s="13">
        <f t="shared" si="17"/>
        <v>8</v>
      </c>
      <c r="I10" s="25"/>
      <c r="J10" s="25"/>
      <c r="K10" s="25"/>
      <c r="L10" s="25"/>
      <c r="M10" s="25"/>
      <c r="N10" s="25"/>
      <c r="O10" s="25"/>
      <c r="P10" s="25"/>
      <c r="Q10" s="25"/>
      <c r="R10" s="25"/>
      <c r="S10" s="25"/>
      <c r="T10" s="25"/>
      <c r="U10" s="25"/>
      <c r="V10" s="25"/>
      <c r="W10" s="25"/>
      <c r="X10" s="25"/>
      <c r="Y10" s="25"/>
      <c r="Z10" s="25"/>
      <c r="AA10" s="25"/>
      <c r="AB10" s="25"/>
      <c r="AC10" s="70"/>
      <c r="AD10" s="70"/>
      <c r="AE10" s="25"/>
      <c r="AF10" s="25"/>
      <c r="AG10" s="25"/>
      <c r="AH10" s="25"/>
      <c r="AI10" s="25"/>
      <c r="AJ10" s="25"/>
      <c r="AK10" s="25"/>
      <c r="AL10" s="25"/>
      <c r="AM10" s="25"/>
      <c r="AN10" s="25"/>
      <c r="AO10" s="25"/>
      <c r="AP10" s="25"/>
      <c r="AQ10" s="25"/>
      <c r="AR10" s="25"/>
      <c r="AS10" s="25"/>
      <c r="AT10" s="25"/>
      <c r="AU10" s="25"/>
      <c r="AV10" s="25"/>
      <c r="AW10" s="25"/>
      <c r="AX10" s="25"/>
      <c r="AY10" s="25"/>
      <c r="AZ10" s="25"/>
      <c r="BA10" s="25"/>
      <c r="BB10" s="25"/>
      <c r="BC10" s="25"/>
      <c r="BD10" s="25"/>
      <c r="BE10" s="25"/>
      <c r="BF10" s="25"/>
      <c r="BG10" s="25"/>
      <c r="BH10" s="70"/>
      <c r="BI10" s="25"/>
      <c r="BJ10" s="25"/>
      <c r="BK10" s="25"/>
      <c r="BL10" s="25"/>
      <c r="BM10" s="25"/>
      <c r="BN10" s="25"/>
      <c r="BO10" s="25"/>
      <c r="BP10" s="25"/>
      <c r="BQ10" s="55"/>
      <c r="BR10" s="55"/>
      <c r="BS10" s="55"/>
      <c r="BT10" s="55"/>
      <c r="BU10" s="55"/>
      <c r="BV10" s="55"/>
      <c r="BW10" s="55"/>
      <c r="BX10" s="55"/>
      <c r="BY10" s="55"/>
      <c r="BZ10" s="55"/>
      <c r="CA10" s="55"/>
      <c r="CB10" s="55"/>
      <c r="CC10" s="55"/>
      <c r="CD10" s="55"/>
      <c r="CE10" s="55"/>
      <c r="CF10" s="55"/>
      <c r="CG10" s="116"/>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row>
    <row r="11" spans="1:121" s="3" customFormat="1" ht="30" customHeight="1" thickBot="1" x14ac:dyDescent="0.3">
      <c r="A11" s="29"/>
      <c r="B11" s="94" t="s">
        <v>34</v>
      </c>
      <c r="C11" s="35"/>
      <c r="D11" s="14">
        <v>0.3</v>
      </c>
      <c r="E11" s="52">
        <v>45903</v>
      </c>
      <c r="F11" s="52">
        <f>E11+1</f>
        <v>45904</v>
      </c>
      <c r="G11" s="64"/>
      <c r="H11" s="13"/>
      <c r="I11" s="25"/>
      <c r="J11" s="25"/>
      <c r="K11" s="25"/>
      <c r="L11" s="25"/>
      <c r="M11" s="25"/>
      <c r="N11" s="25"/>
      <c r="O11" s="25"/>
      <c r="P11" s="25"/>
      <c r="Q11" s="25"/>
      <c r="R11" s="25"/>
      <c r="S11" s="25"/>
      <c r="T11" s="25"/>
      <c r="U11" s="25"/>
      <c r="V11" s="25"/>
      <c r="W11" s="25"/>
      <c r="X11" s="25"/>
      <c r="Y11" s="25"/>
      <c r="Z11" s="25"/>
      <c r="AA11" s="25"/>
      <c r="AB11" s="25"/>
      <c r="AC11" s="70"/>
      <c r="AD11" s="70"/>
      <c r="AE11" s="25"/>
      <c r="AF11" s="25"/>
      <c r="AG11" s="25"/>
      <c r="AH11" s="25"/>
      <c r="AI11" s="25"/>
      <c r="AJ11" s="25"/>
      <c r="AK11" s="25"/>
      <c r="AL11" s="25"/>
      <c r="AM11" s="25"/>
      <c r="AN11" s="25"/>
      <c r="AO11" s="25"/>
      <c r="AP11" s="25"/>
      <c r="AQ11" s="25"/>
      <c r="AR11" s="25"/>
      <c r="AS11" s="25"/>
      <c r="AT11" s="25"/>
      <c r="AU11" s="25"/>
      <c r="AV11" s="25"/>
      <c r="AW11" s="25"/>
      <c r="AX11" s="25"/>
      <c r="AY11" s="25"/>
      <c r="AZ11" s="25"/>
      <c r="BA11" s="25"/>
      <c r="BB11" s="25"/>
      <c r="BC11" s="25"/>
      <c r="BD11" s="25"/>
      <c r="BE11" s="25"/>
      <c r="BF11" s="25"/>
      <c r="BG11" s="25"/>
      <c r="BH11" s="70"/>
      <c r="BI11" s="25"/>
      <c r="BJ11" s="25"/>
      <c r="BK11" s="25"/>
      <c r="BL11" s="25"/>
      <c r="BM11" s="25"/>
      <c r="BN11" s="25"/>
      <c r="BO11" s="25"/>
      <c r="BP11" s="25"/>
      <c r="BQ11" s="55"/>
      <c r="BR11" s="55"/>
      <c r="BS11" s="55"/>
      <c r="BT11" s="55"/>
      <c r="BU11" s="55"/>
      <c r="BV11" s="55"/>
      <c r="BW11" s="55"/>
      <c r="BX11" s="55"/>
      <c r="BY11" s="55"/>
      <c r="BZ11" s="55"/>
      <c r="CA11" s="55"/>
      <c r="CB11" s="55"/>
      <c r="CC11" s="55"/>
      <c r="CD11" s="55"/>
      <c r="CE11" s="55"/>
      <c r="CF11" s="55"/>
      <c r="CG11" s="116"/>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row>
    <row r="12" spans="1:121" s="3" customFormat="1" ht="30" customHeight="1" thickBot="1" x14ac:dyDescent="0.3">
      <c r="A12" s="29"/>
      <c r="B12" s="94" t="s">
        <v>33</v>
      </c>
      <c r="C12" s="35"/>
      <c r="D12" s="14">
        <v>1</v>
      </c>
      <c r="E12" s="52">
        <v>45904</v>
      </c>
      <c r="F12" s="52">
        <v>45908</v>
      </c>
      <c r="G12" s="64"/>
      <c r="H12" s="13"/>
      <c r="I12" s="25"/>
      <c r="J12" s="25"/>
      <c r="K12" s="25"/>
      <c r="L12" s="25"/>
      <c r="M12" s="25"/>
      <c r="N12" s="25"/>
      <c r="O12" s="25"/>
      <c r="P12" s="25"/>
      <c r="Q12" s="25"/>
      <c r="R12" s="25"/>
      <c r="S12" s="25"/>
      <c r="T12" s="25"/>
      <c r="U12" s="25"/>
      <c r="V12" s="25"/>
      <c r="W12" s="25"/>
      <c r="X12" s="25"/>
      <c r="Y12" s="25"/>
      <c r="Z12" s="25"/>
      <c r="AA12" s="25"/>
      <c r="AB12" s="25"/>
      <c r="AC12" s="70"/>
      <c r="AD12" s="70"/>
      <c r="AE12" s="25"/>
      <c r="AF12" s="25"/>
      <c r="AG12" s="25"/>
      <c r="AH12" s="25"/>
      <c r="AI12" s="25"/>
      <c r="AJ12" s="25"/>
      <c r="AK12" s="25"/>
      <c r="AL12" s="25"/>
      <c r="AM12" s="25"/>
      <c r="AN12" s="25"/>
      <c r="AO12" s="25"/>
      <c r="AP12" s="25"/>
      <c r="AQ12" s="25"/>
      <c r="AR12" s="25"/>
      <c r="AS12" s="25"/>
      <c r="AT12" s="25"/>
      <c r="AU12" s="25"/>
      <c r="AV12" s="25"/>
      <c r="AW12" s="25"/>
      <c r="AX12" s="25"/>
      <c r="AY12" s="25"/>
      <c r="AZ12" s="25"/>
      <c r="BA12" s="25"/>
      <c r="BB12" s="25"/>
      <c r="BC12" s="25"/>
      <c r="BD12" s="25"/>
      <c r="BE12" s="25"/>
      <c r="BF12" s="25"/>
      <c r="BG12" s="25"/>
      <c r="BH12" s="70"/>
      <c r="BI12" s="25"/>
      <c r="BJ12" s="25"/>
      <c r="BK12" s="25"/>
      <c r="BL12" s="25"/>
      <c r="BM12" s="25"/>
      <c r="BN12" s="25"/>
      <c r="BO12" s="25"/>
      <c r="BP12" s="25"/>
      <c r="BQ12" s="55"/>
      <c r="BR12" s="55"/>
      <c r="BS12" s="55"/>
      <c r="BT12" s="55"/>
      <c r="BU12" s="55"/>
      <c r="BV12" s="55"/>
      <c r="BW12" s="55"/>
      <c r="BX12" s="55"/>
      <c r="BY12" s="55"/>
      <c r="BZ12" s="55"/>
      <c r="CA12" s="55"/>
      <c r="CB12" s="55"/>
      <c r="CC12" s="55"/>
      <c r="CD12" s="55"/>
      <c r="CE12" s="55"/>
      <c r="CF12" s="55"/>
      <c r="CG12" s="116"/>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row>
    <row r="13" spans="1:121" s="3" customFormat="1" ht="30" customHeight="1" thickBot="1" x14ac:dyDescent="0.3">
      <c r="A13" s="29"/>
      <c r="B13" s="94" t="s">
        <v>35</v>
      </c>
      <c r="C13" s="35"/>
      <c r="D13" s="14">
        <v>1</v>
      </c>
      <c r="E13" s="52">
        <v>45909</v>
      </c>
      <c r="F13" s="52">
        <f>E13+3</f>
        <v>45912</v>
      </c>
      <c r="G13" s="64"/>
      <c r="H13" s="13"/>
      <c r="I13" s="25"/>
      <c r="J13" s="25"/>
      <c r="K13" s="25"/>
      <c r="L13" s="25"/>
      <c r="M13" s="25"/>
      <c r="N13" s="25"/>
      <c r="O13" s="25"/>
      <c r="P13" s="25"/>
      <c r="Q13" s="25"/>
      <c r="R13" s="25"/>
      <c r="S13" s="25"/>
      <c r="T13" s="25"/>
      <c r="U13" s="25"/>
      <c r="V13" s="25"/>
      <c r="W13" s="25"/>
      <c r="X13" s="25"/>
      <c r="Y13" s="25"/>
      <c r="Z13" s="25"/>
      <c r="AA13" s="25"/>
      <c r="AB13" s="25"/>
      <c r="AC13" s="70"/>
      <c r="AD13" s="70"/>
      <c r="AE13" s="25"/>
      <c r="AF13" s="25"/>
      <c r="AG13" s="25"/>
      <c r="AH13" s="25"/>
      <c r="AI13" s="25"/>
      <c r="AJ13" s="25"/>
      <c r="AK13" s="25"/>
      <c r="AL13" s="25"/>
      <c r="AM13" s="25"/>
      <c r="AN13" s="25"/>
      <c r="AO13" s="25"/>
      <c r="AP13" s="25"/>
      <c r="AQ13" s="25"/>
      <c r="AR13" s="25"/>
      <c r="AS13" s="25"/>
      <c r="AT13" s="25"/>
      <c r="AU13" s="25"/>
      <c r="AV13" s="25"/>
      <c r="AW13" s="25"/>
      <c r="AX13" s="25"/>
      <c r="AY13" s="25"/>
      <c r="AZ13" s="25"/>
      <c r="BA13" s="25"/>
      <c r="BB13" s="25"/>
      <c r="BC13" s="25"/>
      <c r="BD13" s="25"/>
      <c r="BE13" s="25"/>
      <c r="BF13" s="25"/>
      <c r="BG13" s="25"/>
      <c r="BH13" s="70"/>
      <c r="BI13" s="25"/>
      <c r="BJ13" s="25"/>
      <c r="BK13" s="25"/>
      <c r="BL13" s="25"/>
      <c r="BM13" s="25"/>
      <c r="BN13" s="25"/>
      <c r="BO13" s="25"/>
      <c r="BP13" s="25"/>
      <c r="BQ13" s="55"/>
      <c r="BR13" s="55"/>
      <c r="BS13" s="55"/>
      <c r="BT13" s="55"/>
      <c r="BU13" s="55"/>
      <c r="BV13" s="55"/>
      <c r="BW13" s="55"/>
      <c r="BX13" s="55"/>
      <c r="BY13" s="55"/>
      <c r="BZ13" s="55"/>
      <c r="CA13" s="55"/>
      <c r="CB13" s="55"/>
      <c r="CC13" s="55"/>
      <c r="CD13" s="55"/>
      <c r="CE13" s="55"/>
      <c r="CF13" s="55"/>
      <c r="CG13" s="116"/>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row>
    <row r="14" spans="1:121" s="3" customFormat="1" ht="30" customHeight="1" thickBot="1" x14ac:dyDescent="0.3">
      <c r="A14" s="30" t="s">
        <v>7</v>
      </c>
      <c r="B14" s="15" t="s">
        <v>20</v>
      </c>
      <c r="C14" s="36"/>
      <c r="D14" s="16"/>
      <c r="E14" s="44"/>
      <c r="F14" s="45"/>
      <c r="G14" s="65"/>
      <c r="H14" s="13" t="str">
        <f t="shared" si="17"/>
        <v/>
      </c>
      <c r="I14" s="84"/>
      <c r="J14" s="85"/>
      <c r="K14" s="85"/>
      <c r="L14" s="85"/>
      <c r="M14" s="85"/>
      <c r="N14" s="85"/>
      <c r="O14" s="85"/>
      <c r="P14" s="85"/>
      <c r="Q14" s="85"/>
      <c r="R14" s="85"/>
      <c r="S14" s="85"/>
      <c r="T14" s="85"/>
      <c r="U14" s="85"/>
      <c r="V14" s="85"/>
      <c r="W14" s="85"/>
      <c r="X14" s="85"/>
      <c r="Y14" s="85"/>
      <c r="Z14" s="85"/>
      <c r="AA14" s="85"/>
      <c r="AB14" s="85"/>
      <c r="AC14" s="85"/>
      <c r="AD14" s="85"/>
      <c r="AE14" s="85"/>
      <c r="AF14" s="85"/>
      <c r="AG14" s="85"/>
      <c r="AH14" s="85"/>
      <c r="AI14" s="85"/>
      <c r="AJ14" s="85"/>
      <c r="AK14" s="85"/>
      <c r="AL14" s="85"/>
      <c r="AM14" s="85"/>
      <c r="AN14" s="85"/>
      <c r="AO14" s="85"/>
      <c r="AP14" s="85"/>
      <c r="AQ14" s="85"/>
      <c r="AR14" s="85"/>
      <c r="AS14" s="85"/>
      <c r="AT14" s="85"/>
      <c r="AU14" s="85"/>
      <c r="AV14" s="85"/>
      <c r="AW14" s="85"/>
      <c r="AX14" s="85"/>
      <c r="AY14" s="85"/>
      <c r="AZ14" s="85"/>
      <c r="BA14" s="85"/>
      <c r="BB14" s="85"/>
      <c r="BC14" s="85"/>
      <c r="BD14" s="85"/>
      <c r="BE14" s="85"/>
      <c r="BF14" s="85"/>
      <c r="BG14" s="85"/>
      <c r="BH14" s="85"/>
      <c r="BI14" s="85"/>
      <c r="BJ14" s="85"/>
      <c r="BK14" s="85"/>
      <c r="BL14" s="85"/>
      <c r="BM14" s="85"/>
      <c r="BN14" s="85"/>
      <c r="BO14" s="85"/>
      <c r="BP14" s="85"/>
      <c r="BQ14" s="85"/>
      <c r="BR14" s="85"/>
      <c r="BS14" s="85"/>
      <c r="BT14" s="85"/>
      <c r="BU14" s="85"/>
      <c r="BV14" s="85"/>
      <c r="BW14" s="85"/>
      <c r="BX14" s="85"/>
      <c r="BY14" s="85"/>
      <c r="BZ14" s="85"/>
      <c r="CA14" s="85"/>
      <c r="CB14" s="85"/>
      <c r="CC14" s="85"/>
      <c r="CD14" s="85"/>
      <c r="CE14" s="85"/>
      <c r="CF14" s="85"/>
      <c r="CG14" s="119"/>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row>
    <row r="15" spans="1:121" s="3" customFormat="1" ht="30" customHeight="1" thickBot="1" x14ac:dyDescent="0.3">
      <c r="A15" s="30"/>
      <c r="B15" s="41" t="s">
        <v>23</v>
      </c>
      <c r="C15" s="37"/>
      <c r="D15" s="17">
        <v>0</v>
      </c>
      <c r="E15" s="53">
        <v>45915</v>
      </c>
      <c r="F15" s="53">
        <v>45915</v>
      </c>
      <c r="G15" s="66"/>
      <c r="H15" s="13"/>
      <c r="I15" s="25"/>
      <c r="J15" s="25"/>
      <c r="K15" s="25"/>
      <c r="L15" s="25"/>
      <c r="M15" s="25"/>
      <c r="N15" s="25"/>
      <c r="O15" s="25"/>
      <c r="P15" s="25"/>
      <c r="Q15" s="25"/>
      <c r="R15" s="25"/>
      <c r="S15" s="25"/>
      <c r="T15" s="25"/>
      <c r="U15" s="25"/>
      <c r="V15" s="25"/>
      <c r="W15" s="25"/>
      <c r="X15" s="25"/>
      <c r="Y15" s="25"/>
      <c r="Z15" s="25"/>
      <c r="AA15" s="25"/>
      <c r="AB15" s="25"/>
      <c r="AC15" s="70"/>
      <c r="AD15" s="70"/>
      <c r="AE15" s="25"/>
      <c r="AF15" s="25"/>
      <c r="AG15" s="25"/>
      <c r="AH15" s="25"/>
      <c r="AI15" s="25"/>
      <c r="AJ15" s="25"/>
      <c r="AK15" s="25"/>
      <c r="AL15" s="25"/>
      <c r="AM15" s="25"/>
      <c r="AN15" s="25"/>
      <c r="AO15" s="25"/>
      <c r="AP15" s="25"/>
      <c r="AQ15" s="25"/>
      <c r="AR15" s="25"/>
      <c r="AS15" s="25"/>
      <c r="AT15" s="25"/>
      <c r="AU15" s="25"/>
      <c r="AV15" s="25"/>
      <c r="AW15" s="25"/>
      <c r="AX15" s="25"/>
      <c r="AY15" s="25"/>
      <c r="AZ15" s="25"/>
      <c r="BA15" s="25"/>
      <c r="BB15" s="25"/>
      <c r="BC15" s="25"/>
      <c r="BD15" s="25"/>
      <c r="BE15" s="25"/>
      <c r="BF15" s="25"/>
      <c r="BG15" s="25"/>
      <c r="BH15" s="70"/>
      <c r="BI15" s="25"/>
      <c r="BJ15" s="25"/>
      <c r="BK15" s="25"/>
      <c r="BL15" s="25"/>
      <c r="BM15" s="25"/>
      <c r="BN15" s="25"/>
      <c r="BO15" s="25"/>
      <c r="BP15" s="25"/>
      <c r="BQ15" s="55"/>
      <c r="BR15" s="55"/>
      <c r="BS15" s="55"/>
      <c r="BT15" s="55"/>
      <c r="BU15" s="55"/>
      <c r="BV15" s="55"/>
      <c r="BW15" s="55"/>
      <c r="BX15" s="55"/>
      <c r="BY15" s="55"/>
      <c r="BZ15" s="55"/>
      <c r="CA15" s="55"/>
      <c r="CB15" s="55"/>
      <c r="CC15" s="55"/>
      <c r="CD15" s="55"/>
      <c r="CE15" s="55"/>
      <c r="CF15" s="55"/>
      <c r="CG15" s="116"/>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row>
    <row r="16" spans="1:121" s="3" customFormat="1" ht="30" customHeight="1" thickBot="1" x14ac:dyDescent="0.3">
      <c r="A16" s="30"/>
      <c r="B16" s="41" t="s">
        <v>24</v>
      </c>
      <c r="C16" s="37"/>
      <c r="D16" s="17">
        <v>0</v>
      </c>
      <c r="E16" s="53">
        <v>45916</v>
      </c>
      <c r="F16" s="53">
        <v>45938</v>
      </c>
      <c r="G16" s="66"/>
      <c r="H16" s="13"/>
      <c r="I16" s="25"/>
      <c r="J16" s="25"/>
      <c r="K16" s="25"/>
      <c r="L16" s="25"/>
      <c r="M16" s="25"/>
      <c r="N16" s="25"/>
      <c r="O16" s="25"/>
      <c r="P16" s="25"/>
      <c r="Q16" s="25"/>
      <c r="R16" s="25"/>
      <c r="S16" s="25"/>
      <c r="T16" s="25"/>
      <c r="U16" s="25"/>
      <c r="V16" s="25"/>
      <c r="W16" s="25"/>
      <c r="X16" s="25"/>
      <c r="Y16" s="25"/>
      <c r="Z16" s="25"/>
      <c r="AA16" s="25"/>
      <c r="AB16" s="25"/>
      <c r="AC16" s="70"/>
      <c r="AD16" s="70"/>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70"/>
      <c r="BI16" s="25"/>
      <c r="BJ16" s="25"/>
      <c r="BK16" s="25"/>
      <c r="BL16" s="25"/>
      <c r="BM16" s="25"/>
      <c r="BN16" s="25"/>
      <c r="BO16" s="25"/>
      <c r="BP16" s="25"/>
      <c r="BQ16" s="55"/>
      <c r="BR16" s="55"/>
      <c r="BS16" s="55"/>
      <c r="BT16" s="55"/>
      <c r="BU16" s="55"/>
      <c r="BV16" s="55"/>
      <c r="BW16" s="55"/>
      <c r="BX16" s="55"/>
      <c r="BY16" s="55"/>
      <c r="BZ16" s="55"/>
      <c r="CA16" s="55"/>
      <c r="CB16" s="55"/>
      <c r="CC16" s="55"/>
      <c r="CD16" s="55"/>
      <c r="CE16" s="55"/>
      <c r="CF16" s="55"/>
      <c r="CG16" s="1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row>
    <row r="17" spans="1:121" s="3" customFormat="1" ht="30" customHeight="1" thickBot="1" x14ac:dyDescent="0.3">
      <c r="A17" s="30"/>
      <c r="B17" s="41" t="s">
        <v>25</v>
      </c>
      <c r="C17" s="37"/>
      <c r="D17" s="17">
        <v>0</v>
      </c>
      <c r="E17" s="53">
        <v>45922</v>
      </c>
      <c r="F17" s="53">
        <v>45943</v>
      </c>
      <c r="G17" s="66"/>
      <c r="H17" s="13"/>
      <c r="I17" s="25"/>
      <c r="J17" s="25"/>
      <c r="K17" s="25"/>
      <c r="L17" s="25"/>
      <c r="M17" s="25"/>
      <c r="N17" s="25"/>
      <c r="O17" s="25"/>
      <c r="P17" s="25"/>
      <c r="Q17" s="25"/>
      <c r="R17" s="25"/>
      <c r="S17" s="25"/>
      <c r="T17" s="25"/>
      <c r="U17" s="25"/>
      <c r="V17" s="25"/>
      <c r="W17" s="25"/>
      <c r="X17" s="25"/>
      <c r="Y17" s="25"/>
      <c r="Z17" s="25"/>
      <c r="AA17" s="25"/>
      <c r="AB17" s="25"/>
      <c r="AC17" s="70"/>
      <c r="AD17" s="70"/>
      <c r="AE17" s="25"/>
      <c r="AF17" s="25"/>
      <c r="AG17" s="25"/>
      <c r="AH17" s="25"/>
      <c r="AI17" s="25"/>
      <c r="AJ17" s="25"/>
      <c r="AK17" s="25"/>
      <c r="AL17" s="25"/>
      <c r="AM17" s="25"/>
      <c r="AN17" s="25"/>
      <c r="AO17" s="25"/>
      <c r="AP17" s="25"/>
      <c r="AQ17" s="25"/>
      <c r="AR17" s="25"/>
      <c r="AS17" s="25"/>
      <c r="AT17" s="25"/>
      <c r="AU17" s="25"/>
      <c r="AV17" s="25"/>
      <c r="AW17" s="25"/>
      <c r="AX17" s="25"/>
      <c r="AY17" s="25"/>
      <c r="AZ17" s="25"/>
      <c r="BA17" s="25"/>
      <c r="BB17" s="25"/>
      <c r="BC17" s="25"/>
      <c r="BD17" s="25"/>
      <c r="BE17" s="25"/>
      <c r="BF17" s="25"/>
      <c r="BG17" s="25"/>
      <c r="BH17" s="70"/>
      <c r="BI17" s="25"/>
      <c r="BJ17" s="25"/>
      <c r="BK17" s="25"/>
      <c r="BL17" s="25"/>
      <c r="BM17" s="25"/>
      <c r="BN17" s="25"/>
      <c r="BO17" s="25"/>
      <c r="BP17" s="25"/>
      <c r="BQ17" s="55"/>
      <c r="BR17" s="55"/>
      <c r="BS17" s="55"/>
      <c r="BT17" s="55"/>
      <c r="BU17" s="55"/>
      <c r="BV17" s="55"/>
      <c r="BW17" s="55"/>
      <c r="BX17" s="55"/>
      <c r="BY17" s="55"/>
      <c r="BZ17" s="55"/>
      <c r="CA17" s="55"/>
      <c r="CB17" s="55"/>
      <c r="CC17" s="55"/>
      <c r="CD17" s="55"/>
      <c r="CE17" s="55"/>
      <c r="CF17" s="55"/>
      <c r="CG17" s="116"/>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row>
    <row r="18" spans="1:121" s="3" customFormat="1" ht="30" customHeight="1" thickBot="1" x14ac:dyDescent="0.3">
      <c r="A18" s="30"/>
      <c r="B18" s="41" t="s">
        <v>26</v>
      </c>
      <c r="C18" s="37"/>
      <c r="D18" s="17">
        <v>0</v>
      </c>
      <c r="E18" s="53">
        <v>45944</v>
      </c>
      <c r="F18" s="53">
        <v>45951</v>
      </c>
      <c r="G18" s="66"/>
      <c r="H18" s="13"/>
      <c r="I18" s="25"/>
      <c r="J18" s="25"/>
      <c r="K18" s="25"/>
      <c r="L18" s="25"/>
      <c r="M18" s="25"/>
      <c r="N18" s="25"/>
      <c r="O18" s="25"/>
      <c r="P18" s="25"/>
      <c r="Q18" s="25"/>
      <c r="R18" s="25"/>
      <c r="S18" s="25"/>
      <c r="T18" s="25"/>
      <c r="U18" s="25"/>
      <c r="V18" s="25"/>
      <c r="W18" s="25"/>
      <c r="X18" s="25"/>
      <c r="Y18" s="25"/>
      <c r="Z18" s="25"/>
      <c r="AA18" s="25"/>
      <c r="AB18" s="25"/>
      <c r="AC18" s="70"/>
      <c r="AD18" s="70"/>
      <c r="AE18" s="25"/>
      <c r="AF18" s="25"/>
      <c r="AG18" s="25"/>
      <c r="AH18" s="25"/>
      <c r="AI18" s="25"/>
      <c r="AJ18" s="25"/>
      <c r="AK18" s="25"/>
      <c r="AL18" s="25"/>
      <c r="AM18" s="25"/>
      <c r="AN18" s="25"/>
      <c r="AO18" s="25"/>
      <c r="AP18" s="25"/>
      <c r="AQ18" s="25"/>
      <c r="AR18" s="25"/>
      <c r="AS18" s="25"/>
      <c r="AT18" s="25"/>
      <c r="AU18" s="25"/>
      <c r="AV18" s="25"/>
      <c r="AW18" s="25"/>
      <c r="AX18" s="25"/>
      <c r="AY18" s="25"/>
      <c r="AZ18" s="25"/>
      <c r="BA18" s="25"/>
      <c r="BB18" s="25"/>
      <c r="BC18" s="25"/>
      <c r="BD18" s="25"/>
      <c r="BE18" s="25"/>
      <c r="BF18" s="25"/>
      <c r="BG18" s="25"/>
      <c r="BH18" s="70"/>
      <c r="BI18" s="25"/>
      <c r="BJ18" s="25"/>
      <c r="BK18" s="25"/>
      <c r="BL18" s="25"/>
      <c r="BM18" s="25"/>
      <c r="BN18" s="25"/>
      <c r="BO18" s="25"/>
      <c r="BP18" s="25"/>
      <c r="BQ18" s="55"/>
      <c r="BR18" s="55"/>
      <c r="BS18" s="55"/>
      <c r="BT18" s="55"/>
      <c r="BU18" s="55"/>
      <c r="BV18" s="55"/>
      <c r="BW18" s="55"/>
      <c r="BX18" s="55"/>
      <c r="BY18" s="55"/>
      <c r="BZ18" s="55"/>
      <c r="CA18" s="55"/>
      <c r="CB18" s="55"/>
      <c r="CC18" s="55"/>
      <c r="CD18" s="55"/>
      <c r="CE18" s="55"/>
      <c r="CF18" s="55"/>
      <c r="CG18" s="116"/>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row>
    <row r="19" spans="1:121" s="3" customFormat="1" ht="30" customHeight="1" thickBot="1" x14ac:dyDescent="0.3">
      <c r="A19" s="30"/>
      <c r="B19" s="41" t="s">
        <v>27</v>
      </c>
      <c r="C19" s="37"/>
      <c r="D19" s="17">
        <v>0</v>
      </c>
      <c r="E19" s="53">
        <v>45952</v>
      </c>
      <c r="F19" s="53">
        <v>45957</v>
      </c>
      <c r="G19" s="66"/>
      <c r="H19" s="13"/>
      <c r="I19" s="25"/>
      <c r="J19" s="25"/>
      <c r="K19" s="25"/>
      <c r="L19" s="25"/>
      <c r="M19" s="25"/>
      <c r="N19" s="25"/>
      <c r="O19" s="25"/>
      <c r="P19" s="25"/>
      <c r="Q19" s="25"/>
      <c r="R19" s="25"/>
      <c r="S19" s="25"/>
      <c r="T19" s="25"/>
      <c r="U19" s="25"/>
      <c r="V19" s="25"/>
      <c r="W19" s="25"/>
      <c r="X19" s="25"/>
      <c r="Y19" s="25"/>
      <c r="Z19" s="25"/>
      <c r="AA19" s="25"/>
      <c r="AB19" s="25"/>
      <c r="AC19" s="70"/>
      <c r="AD19" s="70"/>
      <c r="AE19" s="25"/>
      <c r="AF19" s="25"/>
      <c r="AG19" s="25"/>
      <c r="AH19" s="25"/>
      <c r="AI19" s="25"/>
      <c r="AJ19" s="25"/>
      <c r="AK19" s="25"/>
      <c r="AL19" s="25"/>
      <c r="AM19" s="25"/>
      <c r="AN19" s="25"/>
      <c r="AO19" s="25"/>
      <c r="AP19" s="25"/>
      <c r="AQ19" s="25"/>
      <c r="AR19" s="25"/>
      <c r="AS19" s="25"/>
      <c r="AT19" s="25"/>
      <c r="AU19" s="25"/>
      <c r="AV19" s="25"/>
      <c r="AW19" s="25"/>
      <c r="AX19" s="25"/>
      <c r="AY19" s="25"/>
      <c r="AZ19" s="25"/>
      <c r="BA19" s="25"/>
      <c r="BB19" s="25"/>
      <c r="BC19" s="25"/>
      <c r="BD19" s="25"/>
      <c r="BE19" s="25"/>
      <c r="BF19" s="25"/>
      <c r="BG19" s="25"/>
      <c r="BH19" s="70"/>
      <c r="BI19" s="25"/>
      <c r="BJ19" s="25"/>
      <c r="BK19" s="25"/>
      <c r="BL19" s="25"/>
      <c r="BM19" s="25"/>
      <c r="BN19" s="25"/>
      <c r="BO19" s="25"/>
      <c r="BP19" s="25"/>
      <c r="BQ19" s="55"/>
      <c r="BR19" s="55"/>
      <c r="BS19" s="55"/>
      <c r="BT19" s="55"/>
      <c r="BU19" s="55"/>
      <c r="BV19" s="55"/>
      <c r="BW19" s="55"/>
      <c r="BX19" s="55"/>
      <c r="BY19" s="55"/>
      <c r="BZ19" s="55"/>
      <c r="CA19" s="55"/>
      <c r="CB19" s="55"/>
      <c r="CC19" s="55"/>
      <c r="CD19" s="55"/>
      <c r="CE19" s="55"/>
      <c r="CF19" s="55"/>
      <c r="CG19" s="116"/>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row>
    <row r="20" spans="1:121" s="3" customFormat="1" ht="30" customHeight="1" thickBot="1" x14ac:dyDescent="0.3">
      <c r="A20" s="30"/>
      <c r="B20" s="41" t="s">
        <v>28</v>
      </c>
      <c r="C20" s="37"/>
      <c r="D20" s="17">
        <v>0</v>
      </c>
      <c r="E20" s="53">
        <v>45957</v>
      </c>
      <c r="F20" s="53">
        <v>45958</v>
      </c>
      <c r="G20" s="66"/>
      <c r="H20" s="13"/>
      <c r="I20" s="25"/>
      <c r="J20" s="25"/>
      <c r="K20" s="25"/>
      <c r="L20" s="25"/>
      <c r="M20" s="25"/>
      <c r="N20" s="25"/>
      <c r="O20" s="25"/>
      <c r="P20" s="25"/>
      <c r="Q20" s="25"/>
      <c r="R20" s="25"/>
      <c r="S20" s="25"/>
      <c r="T20" s="25"/>
      <c r="U20" s="25"/>
      <c r="V20" s="25"/>
      <c r="W20" s="25"/>
      <c r="X20" s="25"/>
      <c r="Y20" s="25"/>
      <c r="Z20" s="25"/>
      <c r="AA20" s="25"/>
      <c r="AB20" s="25"/>
      <c r="AC20" s="70"/>
      <c r="AD20" s="70"/>
      <c r="AE20" s="25"/>
      <c r="AF20" s="25"/>
      <c r="AG20" s="25"/>
      <c r="AH20" s="25"/>
      <c r="AI20" s="25"/>
      <c r="AJ20" s="25"/>
      <c r="AK20" s="25"/>
      <c r="AL20" s="25"/>
      <c r="AM20" s="25"/>
      <c r="AN20" s="25"/>
      <c r="AO20" s="25"/>
      <c r="AP20" s="25"/>
      <c r="AQ20" s="25"/>
      <c r="AR20" s="25"/>
      <c r="AS20" s="25"/>
      <c r="AT20" s="25"/>
      <c r="AU20" s="25"/>
      <c r="AV20" s="25"/>
      <c r="AW20" s="25"/>
      <c r="AX20" s="25"/>
      <c r="AY20" s="25"/>
      <c r="AZ20" s="25"/>
      <c r="BA20" s="25"/>
      <c r="BB20" s="25"/>
      <c r="BC20" s="25"/>
      <c r="BD20" s="25"/>
      <c r="BE20" s="25"/>
      <c r="BF20" s="25"/>
      <c r="BG20" s="25"/>
      <c r="BH20" s="70"/>
      <c r="BI20" s="25"/>
      <c r="BJ20" s="25"/>
      <c r="BK20" s="25"/>
      <c r="BL20" s="25"/>
      <c r="BM20" s="25"/>
      <c r="BN20" s="25"/>
      <c r="BO20" s="25"/>
      <c r="BP20" s="25"/>
      <c r="BQ20" s="55"/>
      <c r="BR20" s="55"/>
      <c r="BS20" s="55"/>
      <c r="BT20" s="55"/>
      <c r="BU20" s="55"/>
      <c r="BV20" s="55"/>
      <c r="BW20" s="55"/>
      <c r="BX20" s="55"/>
      <c r="BY20" s="55"/>
      <c r="BZ20" s="55"/>
      <c r="CA20" s="55"/>
      <c r="CB20" s="55"/>
      <c r="CC20" s="55"/>
      <c r="CD20" s="55"/>
      <c r="CE20" s="55"/>
      <c r="CF20" s="55"/>
      <c r="CG20" s="116"/>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row>
    <row r="21" spans="1:121" s="3" customFormat="1" ht="30" customHeight="1" thickBot="1" x14ac:dyDescent="0.3">
      <c r="A21" s="30"/>
      <c r="B21" s="41" t="s">
        <v>29</v>
      </c>
      <c r="C21" s="37"/>
      <c r="D21" s="17">
        <v>0</v>
      </c>
      <c r="E21" s="53">
        <v>45958</v>
      </c>
      <c r="F21" s="53">
        <v>45964</v>
      </c>
      <c r="G21" s="66"/>
      <c r="H21" s="13"/>
      <c r="I21" s="25"/>
      <c r="J21" s="25"/>
      <c r="K21" s="25"/>
      <c r="L21" s="25"/>
      <c r="M21" s="25"/>
      <c r="N21" s="25"/>
      <c r="O21" s="25"/>
      <c r="P21" s="25"/>
      <c r="Q21" s="25"/>
      <c r="R21" s="25"/>
      <c r="S21" s="25"/>
      <c r="T21" s="25"/>
      <c r="U21" s="25"/>
      <c r="V21" s="25"/>
      <c r="W21" s="25"/>
      <c r="X21" s="25"/>
      <c r="Y21" s="25"/>
      <c r="Z21" s="25"/>
      <c r="AA21" s="25"/>
      <c r="AB21" s="25"/>
      <c r="AC21" s="70"/>
      <c r="AD21" s="70"/>
      <c r="AE21" s="25"/>
      <c r="AF21" s="25"/>
      <c r="AG21" s="25"/>
      <c r="AH21" s="25"/>
      <c r="AI21" s="25"/>
      <c r="AJ21" s="25"/>
      <c r="AK21" s="25"/>
      <c r="AL21" s="25"/>
      <c r="AM21" s="25"/>
      <c r="AN21" s="25"/>
      <c r="AO21" s="25"/>
      <c r="AP21" s="25"/>
      <c r="AQ21" s="25"/>
      <c r="AR21" s="25"/>
      <c r="AS21" s="25"/>
      <c r="AT21" s="25"/>
      <c r="AU21" s="25"/>
      <c r="AV21" s="25"/>
      <c r="AW21" s="25"/>
      <c r="AX21" s="25"/>
      <c r="AY21" s="25"/>
      <c r="AZ21" s="25"/>
      <c r="BA21" s="25"/>
      <c r="BB21" s="25"/>
      <c r="BC21" s="25"/>
      <c r="BD21" s="25"/>
      <c r="BE21" s="25"/>
      <c r="BF21" s="25"/>
      <c r="BG21" s="25"/>
      <c r="BH21" s="25"/>
      <c r="BI21" s="25"/>
      <c r="BJ21" s="25"/>
      <c r="BK21" s="25"/>
      <c r="BL21" s="25"/>
      <c r="BM21" s="25"/>
      <c r="BN21" s="25"/>
      <c r="BO21" s="25"/>
      <c r="BP21" s="25"/>
      <c r="BQ21" s="55"/>
      <c r="BR21" s="55"/>
      <c r="BS21" s="55"/>
      <c r="BT21" s="55"/>
      <c r="BU21" s="55"/>
      <c r="BV21" s="55"/>
      <c r="BW21" s="55"/>
      <c r="BX21" s="55"/>
      <c r="BY21" s="55"/>
      <c r="BZ21" s="55"/>
      <c r="CA21" s="55"/>
      <c r="CB21" s="55"/>
      <c r="CC21" s="55"/>
      <c r="CD21" s="55"/>
      <c r="CE21" s="55"/>
      <c r="CF21" s="55"/>
      <c r="CG21" s="116"/>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row>
    <row r="22" spans="1:121" s="3" customFormat="1" ht="30" customHeight="1" thickBot="1" x14ac:dyDescent="0.3">
      <c r="A22" s="29" t="s">
        <v>8</v>
      </c>
      <c r="B22" s="18" t="s">
        <v>21</v>
      </c>
      <c r="C22" s="38"/>
      <c r="D22" s="19"/>
      <c r="E22" s="46"/>
      <c r="F22" s="47"/>
      <c r="G22" s="67"/>
      <c r="H22" s="13" t="str">
        <f t="shared" si="17"/>
        <v/>
      </c>
      <c r="I22" s="86"/>
      <c r="J22" s="87"/>
      <c r="K22" s="87"/>
      <c r="L22" s="87"/>
      <c r="M22" s="87"/>
      <c r="N22" s="87"/>
      <c r="O22" s="87"/>
      <c r="P22" s="87"/>
      <c r="Q22" s="87"/>
      <c r="R22" s="87"/>
      <c r="S22" s="87"/>
      <c r="T22" s="87"/>
      <c r="U22" s="87"/>
      <c r="V22" s="87"/>
      <c r="W22" s="87"/>
      <c r="X22" s="87"/>
      <c r="Y22" s="87"/>
      <c r="Z22" s="87"/>
      <c r="AA22" s="87"/>
      <c r="AB22" s="87"/>
      <c r="AC22" s="87"/>
      <c r="AD22" s="87"/>
      <c r="AE22" s="87"/>
      <c r="AF22" s="87"/>
      <c r="AG22" s="87"/>
      <c r="AH22" s="87"/>
      <c r="AI22" s="87"/>
      <c r="AJ22" s="87"/>
      <c r="AK22" s="87"/>
      <c r="AL22" s="87"/>
      <c r="AM22" s="87"/>
      <c r="AN22" s="87"/>
      <c r="AO22" s="87"/>
      <c r="AP22" s="87"/>
      <c r="AQ22" s="87"/>
      <c r="AR22" s="87"/>
      <c r="AS22" s="87"/>
      <c r="AT22" s="87"/>
      <c r="AU22" s="87"/>
      <c r="AV22" s="87"/>
      <c r="AW22" s="87"/>
      <c r="AX22" s="87"/>
      <c r="AY22" s="87"/>
      <c r="AZ22" s="87"/>
      <c r="BA22" s="87"/>
      <c r="BB22" s="87"/>
      <c r="BC22" s="87"/>
      <c r="BD22" s="87"/>
      <c r="BE22" s="87"/>
      <c r="BF22" s="87"/>
      <c r="BG22" s="87"/>
      <c r="BH22" s="87"/>
      <c r="BI22" s="87"/>
      <c r="BJ22" s="87"/>
      <c r="BK22" s="87"/>
      <c r="BL22" s="87"/>
      <c r="BM22" s="87"/>
      <c r="BN22" s="87"/>
      <c r="BO22" s="87"/>
      <c r="BP22" s="87"/>
      <c r="BQ22" s="87"/>
      <c r="BR22" s="87"/>
      <c r="BS22" s="87"/>
      <c r="BT22" s="87"/>
      <c r="BU22" s="87"/>
      <c r="BV22" s="87"/>
      <c r="BW22" s="87"/>
      <c r="BX22" s="87"/>
      <c r="BY22" s="87"/>
      <c r="BZ22" s="87"/>
      <c r="CA22" s="87"/>
      <c r="CB22" s="87"/>
      <c r="CC22" s="87"/>
      <c r="CD22" s="87"/>
      <c r="CE22" s="87"/>
      <c r="CF22" s="87"/>
      <c r="CG22" s="118"/>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row>
    <row r="23" spans="1:121" s="3" customFormat="1" ht="30" customHeight="1" thickBot="1" x14ac:dyDescent="0.3">
      <c r="A23" s="29"/>
      <c r="B23" s="80" t="s">
        <v>36</v>
      </c>
      <c r="C23" s="39"/>
      <c r="D23" s="20">
        <v>0</v>
      </c>
      <c r="E23" s="48">
        <v>45965</v>
      </c>
      <c r="F23" s="48">
        <v>45967</v>
      </c>
      <c r="G23" s="68"/>
      <c r="H23" s="13">
        <f t="shared" si="17"/>
        <v>3</v>
      </c>
      <c r="I23" s="25"/>
      <c r="J23" s="25"/>
      <c r="K23" s="25"/>
      <c r="L23" s="25"/>
      <c r="M23" s="25"/>
      <c r="N23" s="25"/>
      <c r="O23" s="25"/>
      <c r="P23" s="25"/>
      <c r="Q23" s="25"/>
      <c r="R23" s="25"/>
      <c r="S23" s="25"/>
      <c r="T23" s="25"/>
      <c r="U23" s="25"/>
      <c r="V23" s="25"/>
      <c r="W23" s="25"/>
      <c r="X23" s="25"/>
      <c r="Y23" s="25"/>
      <c r="Z23" s="25"/>
      <c r="AA23" s="25"/>
      <c r="AB23" s="25"/>
      <c r="AC23" s="70"/>
      <c r="AD23" s="70"/>
      <c r="AE23" s="25"/>
      <c r="AF23" s="25"/>
      <c r="AG23" s="25"/>
      <c r="AH23" s="25"/>
      <c r="AI23" s="25"/>
      <c r="AJ23" s="25"/>
      <c r="AK23" s="25"/>
      <c r="AL23" s="25"/>
      <c r="AM23" s="25"/>
      <c r="AN23" s="25"/>
      <c r="AO23" s="25"/>
      <c r="AP23" s="25"/>
      <c r="AQ23" s="25"/>
      <c r="AR23" s="25"/>
      <c r="AS23" s="25"/>
      <c r="AT23" s="25"/>
      <c r="AU23" s="25"/>
      <c r="AV23" s="25"/>
      <c r="AW23" s="25"/>
      <c r="AX23" s="25"/>
      <c r="AY23" s="25"/>
      <c r="AZ23" s="25"/>
      <c r="BA23" s="25"/>
      <c r="BB23" s="25"/>
      <c r="BC23" s="25"/>
      <c r="BD23" s="25"/>
      <c r="BE23" s="25"/>
      <c r="BF23" s="25"/>
      <c r="BG23" s="25"/>
      <c r="BH23" s="70"/>
      <c r="BI23" s="25"/>
      <c r="BJ23" s="25"/>
      <c r="BK23" s="25"/>
      <c r="BL23" s="25"/>
      <c r="BM23" s="25"/>
      <c r="BN23" s="25"/>
      <c r="BO23" s="25"/>
      <c r="BP23" s="25"/>
      <c r="BQ23" s="55"/>
      <c r="BR23" s="55"/>
      <c r="BS23" s="55"/>
      <c r="BT23" s="55"/>
      <c r="BU23" s="55"/>
      <c r="BV23" s="55"/>
      <c r="BW23" s="55"/>
      <c r="BX23" s="55"/>
      <c r="BY23" s="55"/>
      <c r="BZ23" s="55"/>
      <c r="CA23" s="55"/>
      <c r="CB23" s="55"/>
      <c r="CC23" s="55"/>
      <c r="CD23" s="55"/>
      <c r="CE23" s="55"/>
      <c r="CF23" s="55"/>
      <c r="CG23" s="116"/>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row>
    <row r="24" spans="1:121" s="3" customFormat="1" ht="30" customHeight="1" thickBot="1" x14ac:dyDescent="0.3">
      <c r="A24" s="29"/>
      <c r="B24" s="80" t="s">
        <v>37</v>
      </c>
      <c r="C24" s="39"/>
      <c r="D24" s="20">
        <v>0</v>
      </c>
      <c r="E24" s="48">
        <v>45968</v>
      </c>
      <c r="F24" s="48">
        <v>45971</v>
      </c>
      <c r="G24" s="68"/>
      <c r="H24" s="13">
        <f t="shared" si="17"/>
        <v>4</v>
      </c>
      <c r="I24" s="25"/>
      <c r="J24" s="25"/>
      <c r="K24" s="25"/>
      <c r="L24" s="25"/>
      <c r="M24" s="25"/>
      <c r="N24" s="25"/>
      <c r="O24" s="25"/>
      <c r="P24" s="25"/>
      <c r="Q24" s="25"/>
      <c r="R24" s="25"/>
      <c r="S24" s="25"/>
      <c r="T24" s="25"/>
      <c r="U24" s="25"/>
      <c r="V24" s="25"/>
      <c r="W24" s="25"/>
      <c r="X24" s="25"/>
      <c r="Y24" s="25"/>
      <c r="Z24" s="25"/>
      <c r="AA24" s="25"/>
      <c r="AB24" s="25"/>
      <c r="AC24" s="70"/>
      <c r="AD24" s="70"/>
      <c r="AE24" s="25"/>
      <c r="AF24" s="25"/>
      <c r="AG24" s="25"/>
      <c r="AH24" s="25"/>
      <c r="AI24" s="25"/>
      <c r="AJ24" s="25"/>
      <c r="AK24" s="25"/>
      <c r="AL24" s="25"/>
      <c r="AM24" s="25"/>
      <c r="AN24" s="25"/>
      <c r="AO24" s="25"/>
      <c r="AP24" s="25"/>
      <c r="AQ24" s="25"/>
      <c r="AR24" s="25"/>
      <c r="AS24" s="25"/>
      <c r="AT24" s="25"/>
      <c r="AU24" s="25"/>
      <c r="AV24" s="25"/>
      <c r="AW24" s="25"/>
      <c r="AX24" s="25"/>
      <c r="AY24" s="25"/>
      <c r="AZ24" s="25"/>
      <c r="BA24" s="25"/>
      <c r="BB24" s="25"/>
      <c r="BC24" s="25"/>
      <c r="BD24" s="25"/>
      <c r="BE24" s="25"/>
      <c r="BF24" s="25"/>
      <c r="BG24" s="25"/>
      <c r="BH24" s="70"/>
      <c r="BI24" s="25"/>
      <c r="BJ24" s="25"/>
      <c r="BK24" s="25"/>
      <c r="BL24" s="25"/>
      <c r="BM24" s="25"/>
      <c r="BN24" s="25"/>
      <c r="BO24" s="25"/>
      <c r="BP24" s="25"/>
      <c r="BQ24" s="55"/>
      <c r="BR24" s="55"/>
      <c r="BS24" s="55"/>
      <c r="BT24" s="55"/>
      <c r="BU24" s="55"/>
      <c r="BV24" s="55"/>
      <c r="BW24" s="55"/>
      <c r="BX24" s="55"/>
      <c r="BY24" s="55"/>
      <c r="BZ24" s="55"/>
      <c r="CA24" s="55"/>
      <c r="CB24" s="55"/>
      <c r="CC24" s="55"/>
      <c r="CD24" s="55"/>
      <c r="CE24" s="55"/>
      <c r="CF24" s="55"/>
      <c r="CG24" s="116"/>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row>
    <row r="25" spans="1:121" s="3" customFormat="1" ht="30" customHeight="1" thickBot="1" x14ac:dyDescent="0.3">
      <c r="A25" s="29"/>
      <c r="B25" s="80" t="s">
        <v>38</v>
      </c>
      <c r="C25" s="39"/>
      <c r="D25" s="20">
        <v>0</v>
      </c>
      <c r="E25" s="48">
        <v>45972</v>
      </c>
      <c r="F25" s="48">
        <v>45973</v>
      </c>
      <c r="G25" s="68"/>
      <c r="H25" s="13"/>
      <c r="I25" s="25"/>
      <c r="J25" s="25"/>
      <c r="K25" s="25"/>
      <c r="L25" s="25"/>
      <c r="M25" s="25"/>
      <c r="N25" s="25"/>
      <c r="O25" s="25"/>
      <c r="P25" s="25"/>
      <c r="Q25" s="25"/>
      <c r="R25" s="25"/>
      <c r="S25" s="25"/>
      <c r="T25" s="25"/>
      <c r="U25" s="25"/>
      <c r="V25" s="25"/>
      <c r="W25" s="25"/>
      <c r="X25" s="25"/>
      <c r="Y25" s="25"/>
      <c r="Z25" s="25"/>
      <c r="AA25" s="25"/>
      <c r="AB25" s="25"/>
      <c r="AC25" s="70"/>
      <c r="AD25" s="70"/>
      <c r="AE25" s="25"/>
      <c r="AF25" s="25"/>
      <c r="AG25" s="25"/>
      <c r="AH25" s="25"/>
      <c r="AI25" s="25"/>
      <c r="AJ25" s="25"/>
      <c r="AK25" s="25"/>
      <c r="AL25" s="25"/>
      <c r="AM25" s="25"/>
      <c r="AN25" s="25"/>
      <c r="AO25" s="25"/>
      <c r="AP25" s="25"/>
      <c r="AQ25" s="25"/>
      <c r="AR25" s="25"/>
      <c r="AS25" s="25"/>
      <c r="AT25" s="25"/>
      <c r="AU25" s="25"/>
      <c r="AV25" s="25"/>
      <c r="AW25" s="25"/>
      <c r="AX25" s="25"/>
      <c r="AY25" s="25"/>
      <c r="AZ25" s="25"/>
      <c r="BA25" s="25"/>
      <c r="BB25" s="25"/>
      <c r="BC25" s="25"/>
      <c r="BD25" s="25"/>
      <c r="BE25" s="25"/>
      <c r="BF25" s="25"/>
      <c r="BG25" s="25"/>
      <c r="BH25" s="70"/>
      <c r="BI25" s="25"/>
      <c r="BJ25" s="25"/>
      <c r="BK25" s="25"/>
      <c r="BL25" s="25"/>
      <c r="BM25" s="25"/>
      <c r="BN25" s="25"/>
      <c r="BO25" s="25"/>
      <c r="BP25" s="25"/>
      <c r="BQ25" s="55"/>
      <c r="BR25" s="55"/>
      <c r="BS25" s="55"/>
      <c r="BT25" s="55"/>
      <c r="BU25" s="55"/>
      <c r="BV25" s="55"/>
      <c r="BW25" s="55"/>
      <c r="BX25" s="55"/>
      <c r="BY25" s="55"/>
      <c r="BZ25" s="55"/>
      <c r="CA25" s="55"/>
      <c r="CB25" s="55"/>
      <c r="CC25" s="55"/>
      <c r="CD25" s="55"/>
      <c r="CE25" s="55"/>
      <c r="CF25" s="55"/>
      <c r="CG25" s="116"/>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row>
    <row r="26" spans="1:121" s="3" customFormat="1" ht="30" customHeight="1" thickBot="1" x14ac:dyDescent="0.3">
      <c r="A26" s="29"/>
      <c r="B26" s="80" t="s">
        <v>39</v>
      </c>
      <c r="C26" s="39"/>
      <c r="D26" s="20">
        <v>0</v>
      </c>
      <c r="E26" s="48">
        <v>45974</v>
      </c>
      <c r="F26" s="48">
        <v>45976</v>
      </c>
      <c r="G26" s="68"/>
      <c r="H26" s="13">
        <f t="shared" si="17"/>
        <v>3</v>
      </c>
      <c r="I26" s="25"/>
      <c r="J26" s="25"/>
      <c r="K26" s="25"/>
      <c r="L26" s="25"/>
      <c r="M26" s="25"/>
      <c r="N26" s="25"/>
      <c r="O26" s="25"/>
      <c r="P26" s="25"/>
      <c r="Q26" s="25"/>
      <c r="R26" s="25"/>
      <c r="S26" s="25"/>
      <c r="T26" s="25"/>
      <c r="U26" s="25"/>
      <c r="V26" s="25"/>
      <c r="W26" s="25"/>
      <c r="X26" s="25"/>
      <c r="Y26" s="25"/>
      <c r="Z26" s="25"/>
      <c r="AA26" s="25"/>
      <c r="AB26" s="25"/>
      <c r="AC26" s="70"/>
      <c r="AD26" s="70"/>
      <c r="AE26" s="25"/>
      <c r="AF26" s="25"/>
      <c r="AG26" s="25"/>
      <c r="AH26" s="25"/>
      <c r="AI26" s="25"/>
      <c r="AJ26" s="25"/>
      <c r="AK26" s="25"/>
      <c r="AL26" s="25"/>
      <c r="AM26" s="25"/>
      <c r="AN26" s="25"/>
      <c r="AO26" s="25"/>
      <c r="AP26" s="25"/>
      <c r="AQ26" s="25"/>
      <c r="AR26" s="25"/>
      <c r="AS26" s="25"/>
      <c r="AT26" s="25"/>
      <c r="AU26" s="25"/>
      <c r="AV26" s="25"/>
      <c r="AW26" s="25"/>
      <c r="AX26" s="25"/>
      <c r="AY26" s="25"/>
      <c r="AZ26" s="25"/>
      <c r="BA26" s="25"/>
      <c r="BB26" s="25"/>
      <c r="BC26" s="25"/>
      <c r="BD26" s="25"/>
      <c r="BE26" s="25"/>
      <c r="BF26" s="25"/>
      <c r="BG26" s="25"/>
      <c r="BH26" s="70"/>
      <c r="BI26" s="25"/>
      <c r="BJ26" s="25"/>
      <c r="BK26" s="25"/>
      <c r="BL26" s="25"/>
      <c r="BM26" s="25"/>
      <c r="BN26" s="25"/>
      <c r="BO26" s="25"/>
      <c r="BP26" s="25"/>
      <c r="BQ26" s="55"/>
      <c r="BR26" s="55"/>
      <c r="BS26" s="55"/>
      <c r="BT26" s="55"/>
      <c r="BU26" s="55"/>
      <c r="BV26" s="55"/>
      <c r="BW26" s="55"/>
      <c r="BX26" s="55"/>
      <c r="BY26" s="55"/>
      <c r="BZ26" s="55"/>
      <c r="CA26" s="55"/>
      <c r="CB26" s="55"/>
      <c r="CC26" s="55"/>
      <c r="CD26" s="55"/>
      <c r="CE26" s="55"/>
      <c r="CF26" s="55"/>
      <c r="CG26" s="116"/>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row>
    <row r="27" spans="1:121" s="3" customFormat="1" ht="30" customHeight="1" thickBot="1" x14ac:dyDescent="0.3">
      <c r="A27" s="29"/>
      <c r="B27" s="80" t="s">
        <v>40</v>
      </c>
      <c r="C27" s="39"/>
      <c r="D27" s="20">
        <v>0</v>
      </c>
      <c r="E27" s="48">
        <v>45978</v>
      </c>
      <c r="F27" s="48">
        <v>45978</v>
      </c>
      <c r="G27" s="68"/>
      <c r="H27" s="13">
        <f t="shared" si="17"/>
        <v>1</v>
      </c>
      <c r="I27" s="25"/>
      <c r="J27" s="25"/>
      <c r="K27" s="25"/>
      <c r="L27" s="25"/>
      <c r="M27" s="25"/>
      <c r="N27" s="25"/>
      <c r="O27" s="25"/>
      <c r="P27" s="25"/>
      <c r="Q27" s="25"/>
      <c r="R27" s="25"/>
      <c r="S27" s="25"/>
      <c r="T27" s="25"/>
      <c r="U27" s="25"/>
      <c r="V27" s="25"/>
      <c r="W27" s="25"/>
      <c r="X27" s="25"/>
      <c r="Y27" s="25"/>
      <c r="Z27" s="25"/>
      <c r="AA27" s="25"/>
      <c r="AB27" s="25"/>
      <c r="AC27" s="70"/>
      <c r="AD27" s="70"/>
      <c r="AE27" s="25"/>
      <c r="AF27" s="25"/>
      <c r="AG27" s="25"/>
      <c r="AH27" s="25"/>
      <c r="AI27" s="25"/>
      <c r="AJ27" s="25"/>
      <c r="AK27" s="25"/>
      <c r="AL27" s="25"/>
      <c r="AM27" s="25"/>
      <c r="AN27" s="25"/>
      <c r="AO27" s="25"/>
      <c r="AP27" s="25"/>
      <c r="AQ27" s="25"/>
      <c r="AR27" s="25"/>
      <c r="AS27" s="25"/>
      <c r="AT27" s="25"/>
      <c r="AU27" s="25"/>
      <c r="AV27" s="25"/>
      <c r="AW27" s="25"/>
      <c r="AX27" s="25"/>
      <c r="AY27" s="25"/>
      <c r="AZ27" s="25"/>
      <c r="BA27" s="25"/>
      <c r="BB27" s="25"/>
      <c r="BC27" s="25"/>
      <c r="BD27" s="25"/>
      <c r="BE27" s="25"/>
      <c r="BF27" s="25"/>
      <c r="BG27" s="25"/>
      <c r="BH27" s="70"/>
      <c r="BI27" s="25"/>
      <c r="BJ27" s="25"/>
      <c r="BK27" s="25"/>
      <c r="BL27" s="25"/>
      <c r="BM27" s="25"/>
      <c r="BN27" s="25"/>
      <c r="BO27" s="25"/>
      <c r="BP27" s="25"/>
      <c r="BQ27" s="55"/>
      <c r="BR27" s="55"/>
      <c r="BS27" s="55"/>
      <c r="BT27" s="55"/>
      <c r="BU27" s="55"/>
      <c r="BV27" s="55"/>
      <c r="BW27" s="55"/>
      <c r="BX27" s="55"/>
      <c r="BY27" s="55"/>
      <c r="BZ27" s="55"/>
      <c r="CA27" s="55"/>
      <c r="CB27" s="55"/>
      <c r="CC27" s="55"/>
      <c r="CD27" s="55"/>
      <c r="CE27" s="55"/>
      <c r="CF27" s="55"/>
      <c r="CG27" s="116"/>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row>
    <row r="28" spans="1:121" s="3" customFormat="1" ht="30" customHeight="1" x14ac:dyDescent="0.25">
      <c r="A28" s="29"/>
      <c r="B28" s="107" t="s">
        <v>41</v>
      </c>
      <c r="C28" s="108"/>
      <c r="D28" s="109">
        <v>0</v>
      </c>
      <c r="E28" s="110">
        <v>45979</v>
      </c>
      <c r="F28" s="110">
        <v>45979</v>
      </c>
      <c r="G28" s="111"/>
      <c r="H28" s="112">
        <f t="shared" si="17"/>
        <v>1</v>
      </c>
      <c r="I28" s="113"/>
      <c r="J28" s="113"/>
      <c r="K28" s="113"/>
      <c r="L28" s="113"/>
      <c r="M28" s="113"/>
      <c r="N28" s="113"/>
      <c r="O28" s="113"/>
      <c r="P28" s="113"/>
      <c r="Q28" s="113"/>
      <c r="R28" s="113"/>
      <c r="S28" s="113"/>
      <c r="T28" s="113"/>
      <c r="U28" s="113"/>
      <c r="V28" s="113"/>
      <c r="W28" s="113"/>
      <c r="X28" s="113"/>
      <c r="Y28" s="113"/>
      <c r="Z28" s="113"/>
      <c r="AA28" s="113"/>
      <c r="AB28" s="113"/>
      <c r="AC28" s="114"/>
      <c r="AD28" s="114"/>
      <c r="AE28" s="113"/>
      <c r="AF28" s="113"/>
      <c r="AG28" s="113"/>
      <c r="AH28" s="113"/>
      <c r="AI28" s="113"/>
      <c r="AJ28" s="113"/>
      <c r="AK28" s="113"/>
      <c r="AL28" s="113"/>
      <c r="AM28" s="113"/>
      <c r="AN28" s="113"/>
      <c r="AO28" s="113"/>
      <c r="AP28" s="113"/>
      <c r="AQ28" s="113"/>
      <c r="AR28" s="113"/>
      <c r="AS28" s="113"/>
      <c r="AT28" s="113"/>
      <c r="AU28" s="113"/>
      <c r="AV28" s="113"/>
      <c r="AW28" s="113"/>
      <c r="AX28" s="113"/>
      <c r="AY28" s="113"/>
      <c r="AZ28" s="113"/>
      <c r="BA28" s="113"/>
      <c r="BB28" s="113"/>
      <c r="BC28" s="113"/>
      <c r="BD28" s="113"/>
      <c r="BE28" s="113"/>
      <c r="BF28" s="113"/>
      <c r="BG28" s="113"/>
      <c r="BH28" s="114"/>
      <c r="BI28" s="113"/>
      <c r="BJ28" s="113"/>
      <c r="BK28" s="113"/>
      <c r="BL28" s="113"/>
      <c r="BM28" s="113"/>
      <c r="BN28" s="113"/>
      <c r="BO28" s="113"/>
      <c r="BP28" s="113"/>
      <c r="BQ28" s="115"/>
      <c r="BR28" s="115"/>
      <c r="BS28" s="115"/>
      <c r="BT28" s="115"/>
      <c r="BU28" s="115"/>
      <c r="BV28" s="115"/>
      <c r="BW28" s="115"/>
      <c r="BX28" s="115"/>
      <c r="BY28" s="115"/>
      <c r="BZ28" s="115"/>
      <c r="CA28" s="115"/>
      <c r="CB28" s="115"/>
      <c r="CC28" s="115"/>
      <c r="CD28" s="115"/>
      <c r="CE28" s="115"/>
      <c r="CF28" s="115"/>
      <c r="CG28" s="117"/>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row>
    <row r="29" spans="1:121" s="3" customFormat="1" ht="30" customHeight="1" thickBot="1" x14ac:dyDescent="0.3">
      <c r="A29" s="29" t="s">
        <v>8</v>
      </c>
      <c r="B29" s="99"/>
      <c r="C29" s="100"/>
      <c r="D29" s="101"/>
      <c r="E29" s="102"/>
      <c r="F29" s="103"/>
      <c r="G29" s="104"/>
      <c r="H29" s="104" t="str">
        <f t="shared" si="17"/>
        <v/>
      </c>
      <c r="I29" s="105"/>
      <c r="J29" s="105"/>
      <c r="K29" s="105"/>
      <c r="L29" s="105"/>
      <c r="M29" s="105"/>
      <c r="N29" s="105"/>
      <c r="O29" s="105"/>
      <c r="P29" s="105"/>
      <c r="Q29" s="105"/>
      <c r="R29" s="105"/>
      <c r="S29" s="105"/>
      <c r="T29" s="105"/>
      <c r="U29" s="105"/>
      <c r="V29" s="105"/>
      <c r="W29" s="105"/>
      <c r="X29" s="105"/>
      <c r="Y29" s="105"/>
      <c r="Z29" s="105"/>
      <c r="AA29" s="105"/>
      <c r="AB29" s="106"/>
      <c r="AC29" s="106"/>
      <c r="AD29" s="106"/>
      <c r="AE29" s="105"/>
      <c r="AF29" s="105"/>
      <c r="AG29" s="105"/>
      <c r="AH29" s="105"/>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6"/>
      <c r="BR29" s="106"/>
      <c r="BS29" s="106"/>
      <c r="BT29" s="106"/>
      <c r="BU29" s="106"/>
      <c r="BV29" s="106"/>
      <c r="BW29" s="106"/>
      <c r="BX29" s="106"/>
      <c r="BY29" s="106"/>
      <c r="BZ29" s="106"/>
      <c r="CA29" s="106"/>
      <c r="CB29" s="106"/>
      <c r="CC29" s="106"/>
      <c r="CD29" s="106"/>
      <c r="CE29" s="106"/>
      <c r="CF29" s="106"/>
      <c r="CG29" s="106"/>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row>
    <row r="30" spans="1:121" s="3" customFormat="1" ht="30" customHeight="1" thickBot="1" x14ac:dyDescent="0.3">
      <c r="A30" s="29"/>
      <c r="B30" s="62"/>
      <c r="C30" s="60"/>
      <c r="D30" s="61"/>
      <c r="E30" s="63"/>
      <c r="F30" s="63"/>
      <c r="G30" s="13"/>
      <c r="H30" s="13" t="str">
        <f t="shared" si="17"/>
        <v/>
      </c>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c r="AQ30" s="25"/>
      <c r="AR30" s="25"/>
      <c r="AS30" s="25"/>
      <c r="AT30" s="25"/>
      <c r="AU30" s="25"/>
      <c r="AV30" s="25"/>
      <c r="AW30" s="25"/>
      <c r="AX30" s="25"/>
      <c r="AY30" s="25"/>
      <c r="AZ30" s="25"/>
      <c r="BA30" s="25"/>
      <c r="BB30" s="25"/>
      <c r="BC30" s="25"/>
      <c r="BD30" s="25"/>
      <c r="BE30" s="25"/>
      <c r="BF30" s="25"/>
      <c r="BG30" s="25"/>
      <c r="BH30" s="25"/>
      <c r="BI30" s="25"/>
      <c r="BJ30" s="25"/>
      <c r="BK30" s="25"/>
      <c r="BL30" s="25"/>
      <c r="BM30" s="25"/>
      <c r="BN30" s="25"/>
      <c r="BO30" s="25"/>
      <c r="BP30" s="25"/>
      <c r="BQ30" s="25"/>
      <c r="BR30" s="25"/>
      <c r="BS30" s="25"/>
      <c r="BT30" s="25"/>
      <c r="BU30" s="25"/>
      <c r="BV30" s="25"/>
      <c r="BW30" s="25"/>
      <c r="BX30" s="25"/>
      <c r="BY30" s="25"/>
      <c r="BZ30" s="25"/>
      <c r="CA30" s="25"/>
      <c r="CB30" s="25"/>
      <c r="CC30" s="25"/>
      <c r="CD30" s="25"/>
      <c r="CE30" s="25"/>
      <c r="CF30" s="25"/>
      <c r="CG30" s="25"/>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row>
    <row r="31" spans="1:121" s="3" customFormat="1" ht="30" customHeight="1" thickBot="1" x14ac:dyDescent="0.3">
      <c r="A31" s="29"/>
      <c r="B31" s="62"/>
      <c r="C31" s="60"/>
      <c r="D31" s="61"/>
      <c r="E31" s="63"/>
      <c r="F31" s="63"/>
      <c r="G31" s="13"/>
      <c r="H31" s="13" t="str">
        <f t="shared" si="17"/>
        <v/>
      </c>
      <c r="I31" s="25"/>
      <c r="J31" s="25"/>
      <c r="K31" s="25"/>
      <c r="L31" s="25"/>
      <c r="M31" s="25"/>
      <c r="N31" s="25"/>
      <c r="O31" s="25"/>
      <c r="P31" s="25"/>
      <c r="Q31" s="25"/>
      <c r="R31" s="25"/>
      <c r="S31" s="25"/>
      <c r="T31" s="25"/>
      <c r="U31" s="25"/>
      <c r="V31" s="25"/>
      <c r="W31" s="25"/>
      <c r="X31" s="25"/>
      <c r="Y31" s="25"/>
      <c r="Z31" s="25"/>
      <c r="AA31" s="25"/>
      <c r="AB31" s="25"/>
      <c r="AC31" s="25"/>
      <c r="AD31" s="25"/>
      <c r="AE31" s="25"/>
      <c r="AF31" s="25"/>
      <c r="AG31" s="25"/>
      <c r="AH31" s="25"/>
      <c r="AI31" s="25"/>
      <c r="AJ31" s="25"/>
      <c r="AK31" s="25"/>
      <c r="AL31" s="25"/>
      <c r="AM31" s="25"/>
      <c r="AN31" s="25"/>
      <c r="AO31" s="25"/>
      <c r="AP31" s="25"/>
      <c r="AQ31" s="25"/>
      <c r="AR31" s="25"/>
      <c r="AS31" s="25"/>
      <c r="AT31" s="25"/>
      <c r="AU31" s="25"/>
      <c r="AV31" s="25"/>
      <c r="AW31" s="25"/>
      <c r="AX31" s="25"/>
      <c r="AY31" s="25"/>
      <c r="AZ31" s="25"/>
      <c r="BA31" s="25"/>
      <c r="BB31" s="25"/>
      <c r="BC31" s="25"/>
      <c r="BD31" s="25"/>
      <c r="BE31" s="25"/>
      <c r="BF31" s="25"/>
      <c r="BG31" s="25"/>
      <c r="BH31" s="25"/>
      <c r="BI31" s="25"/>
      <c r="BJ31" s="25"/>
      <c r="BK31" s="25"/>
      <c r="BL31" s="25"/>
      <c r="BM31" s="25"/>
      <c r="BN31" s="25"/>
      <c r="BO31" s="25"/>
      <c r="BP31" s="25"/>
      <c r="BQ31" s="25"/>
      <c r="BR31" s="25"/>
      <c r="BS31" s="25"/>
      <c r="BT31" s="25"/>
      <c r="BU31" s="25"/>
      <c r="BV31" s="25"/>
      <c r="BW31" s="25"/>
      <c r="BX31" s="25"/>
      <c r="BY31" s="25"/>
      <c r="BZ31" s="25"/>
      <c r="CA31" s="25"/>
      <c r="CB31" s="25"/>
      <c r="CC31" s="25"/>
      <c r="CD31" s="25"/>
      <c r="CE31" s="25"/>
      <c r="CF31" s="25"/>
      <c r="CG31" s="25"/>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row>
    <row r="32" spans="1:121" s="3" customFormat="1" ht="30" customHeight="1" thickBot="1" x14ac:dyDescent="0.3">
      <c r="A32" s="29"/>
      <c r="B32" s="62"/>
      <c r="C32" s="60"/>
      <c r="D32" s="61"/>
      <c r="E32" s="63"/>
      <c r="F32" s="63"/>
      <c r="G32" s="13"/>
      <c r="H32" s="13" t="str">
        <f t="shared" si="17"/>
        <v/>
      </c>
      <c r="I32" s="25"/>
      <c r="J32" s="25"/>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c r="AS32" s="25"/>
      <c r="AT32" s="25"/>
      <c r="AU32" s="25"/>
      <c r="AV32" s="25"/>
      <c r="AW32" s="25"/>
      <c r="AX32" s="25"/>
      <c r="AY32" s="25"/>
      <c r="AZ32" s="25"/>
      <c r="BA32" s="25"/>
      <c r="BB32" s="25"/>
      <c r="BC32" s="25"/>
      <c r="BD32" s="25"/>
      <c r="BE32" s="25"/>
      <c r="BF32" s="25"/>
      <c r="BG32" s="25"/>
      <c r="BH32" s="25"/>
      <c r="BI32" s="25"/>
      <c r="BJ32" s="25"/>
      <c r="BK32" s="25"/>
      <c r="BL32" s="25"/>
      <c r="BM32" s="25"/>
      <c r="BN32" s="25"/>
      <c r="BO32" s="25"/>
      <c r="BP32" s="25"/>
      <c r="BQ32" s="25"/>
      <c r="BR32" s="25"/>
      <c r="BS32" s="25"/>
      <c r="BT32" s="25"/>
      <c r="BU32" s="25"/>
      <c r="BV32" s="25"/>
      <c r="BW32" s="25"/>
      <c r="BX32" s="25"/>
      <c r="BY32" s="25"/>
      <c r="BZ32" s="25"/>
      <c r="CA32" s="25"/>
      <c r="CB32" s="25"/>
      <c r="CC32" s="25"/>
      <c r="CD32" s="25"/>
      <c r="CE32" s="25"/>
      <c r="CF32" s="25"/>
      <c r="CG32" s="25"/>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row>
    <row r="33" spans="1:121" s="3" customFormat="1" ht="30" customHeight="1" thickBot="1" x14ac:dyDescent="0.3">
      <c r="A33" s="29"/>
      <c r="B33" s="62"/>
      <c r="C33" s="60"/>
      <c r="D33" s="61"/>
      <c r="E33" s="63"/>
      <c r="F33" s="63"/>
      <c r="G33" s="13"/>
      <c r="H33" s="13" t="str">
        <f t="shared" si="17"/>
        <v/>
      </c>
      <c r="I33" s="25"/>
      <c r="J33" s="25"/>
      <c r="K33" s="25"/>
      <c r="L33" s="25"/>
      <c r="M33" s="25"/>
      <c r="N33" s="25"/>
      <c r="O33" s="25"/>
      <c r="P33" s="25"/>
      <c r="Q33" s="25"/>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c r="AR33" s="25"/>
      <c r="AS33" s="25"/>
      <c r="AT33" s="25"/>
      <c r="AU33" s="25"/>
      <c r="AV33" s="25"/>
      <c r="AW33" s="25"/>
      <c r="AX33" s="25"/>
      <c r="AY33" s="25"/>
      <c r="AZ33" s="25"/>
      <c r="BA33" s="25"/>
      <c r="BB33" s="25"/>
      <c r="BC33" s="25"/>
      <c r="BD33" s="25"/>
      <c r="BE33" s="25"/>
      <c r="BF33" s="25"/>
      <c r="BG33" s="25"/>
      <c r="BH33" s="25"/>
      <c r="BI33" s="25"/>
      <c r="BJ33" s="25"/>
      <c r="BK33" s="25"/>
      <c r="BL33" s="25"/>
      <c r="BM33" s="25"/>
      <c r="BN33" s="25"/>
      <c r="BO33" s="25"/>
      <c r="BP33" s="25"/>
      <c r="BQ33" s="25"/>
      <c r="BR33" s="25"/>
      <c r="BS33" s="25"/>
      <c r="BT33" s="25"/>
      <c r="BU33" s="25"/>
      <c r="BV33" s="25"/>
      <c r="BW33" s="25"/>
      <c r="BX33" s="25"/>
      <c r="BY33" s="25"/>
      <c r="BZ33" s="25"/>
      <c r="CA33" s="25"/>
      <c r="CB33" s="25"/>
      <c r="CC33" s="25"/>
      <c r="CD33" s="25"/>
      <c r="CE33" s="25"/>
      <c r="CF33" s="25"/>
      <c r="CG33" s="25"/>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row>
    <row r="34" spans="1:121" s="3" customFormat="1" ht="30" customHeight="1" thickBot="1" x14ac:dyDescent="0.3">
      <c r="A34" s="29"/>
      <c r="B34" s="62"/>
      <c r="C34" s="60"/>
      <c r="D34" s="61"/>
      <c r="E34" s="63"/>
      <c r="F34" s="63"/>
      <c r="G34" s="13"/>
      <c r="H34" s="13" t="str">
        <f t="shared" si="17"/>
        <v/>
      </c>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c r="AS34" s="25"/>
      <c r="AT34" s="25"/>
      <c r="AU34" s="25"/>
      <c r="AV34" s="25"/>
      <c r="AW34" s="25"/>
      <c r="AX34" s="25"/>
      <c r="AY34" s="25"/>
      <c r="AZ34" s="25"/>
      <c r="BA34" s="25"/>
      <c r="BB34" s="25"/>
      <c r="BC34" s="25"/>
      <c r="BD34" s="25"/>
      <c r="BE34" s="25"/>
      <c r="BF34" s="25"/>
      <c r="BG34" s="25"/>
      <c r="BH34" s="25"/>
      <c r="BI34" s="25"/>
      <c r="BJ34" s="25"/>
      <c r="BK34" s="25"/>
      <c r="BL34" s="25"/>
      <c r="BM34" s="25"/>
      <c r="BN34" s="25"/>
      <c r="BO34" s="25"/>
      <c r="BP34" s="25"/>
      <c r="BQ34" s="25"/>
      <c r="BR34" s="25"/>
      <c r="BS34" s="25"/>
      <c r="BT34" s="25"/>
      <c r="BU34" s="25"/>
      <c r="BV34" s="25"/>
      <c r="BW34" s="25"/>
      <c r="BX34" s="25"/>
      <c r="BY34" s="25"/>
      <c r="BZ34" s="25"/>
      <c r="CA34" s="25"/>
      <c r="CB34" s="25"/>
      <c r="CC34" s="25"/>
      <c r="CD34" s="25"/>
      <c r="CE34" s="25"/>
      <c r="CF34" s="25"/>
      <c r="CG34" s="25"/>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row>
    <row r="35" spans="1:121" s="3" customFormat="1" ht="30" customHeight="1" thickBot="1" x14ac:dyDescent="0.3">
      <c r="A35" s="29" t="s">
        <v>9</v>
      </c>
      <c r="B35" s="42"/>
      <c r="C35" s="40"/>
      <c r="D35" s="12"/>
      <c r="E35" s="54"/>
      <c r="F35" s="54"/>
      <c r="G35" s="13"/>
      <c r="H35" s="13" t="str">
        <f t="shared" si="17"/>
        <v/>
      </c>
      <c r="I35" s="25"/>
      <c r="J35" s="25"/>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5"/>
      <c r="AZ35" s="25"/>
      <c r="BA35" s="25"/>
      <c r="BB35" s="25"/>
      <c r="BC35" s="25"/>
      <c r="BD35" s="25"/>
      <c r="BE35" s="25"/>
      <c r="BF35" s="25"/>
      <c r="BG35" s="25"/>
      <c r="BH35" s="25"/>
      <c r="BI35" s="25"/>
      <c r="BJ35" s="25"/>
      <c r="BK35" s="25"/>
      <c r="BL35" s="2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row>
    <row r="36" spans="1:121" s="3" customFormat="1" ht="30" customHeight="1" thickBot="1" x14ac:dyDescent="0.3">
      <c r="A36" s="30"/>
      <c r="B36" s="21"/>
      <c r="C36" s="22"/>
      <c r="D36" s="23"/>
      <c r="E36" s="49"/>
      <c r="F36" s="50"/>
      <c r="G36" s="24"/>
      <c r="H36" s="24"/>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row>
    <row r="37" spans="1:121" ht="30" customHeight="1" x14ac:dyDescent="0.25">
      <c r="G37" s="6"/>
    </row>
    <row r="38" spans="1:121" ht="30" customHeight="1" x14ac:dyDescent="0.25">
      <c r="C38" s="10"/>
      <c r="F38" s="31"/>
    </row>
    <row r="39" spans="1:121" ht="30" customHeight="1" x14ac:dyDescent="0.25">
      <c r="C39" s="11"/>
    </row>
  </sheetData>
  <mergeCells count="21">
    <mergeCell ref="C2:D2"/>
    <mergeCell ref="C3:D3"/>
    <mergeCell ref="P3:T3"/>
    <mergeCell ref="U3:Y3"/>
    <mergeCell ref="Z3:AD3"/>
    <mergeCell ref="E2:F2"/>
    <mergeCell ref="I3:O3"/>
    <mergeCell ref="I7:CG7"/>
    <mergeCell ref="I14:CG14"/>
    <mergeCell ref="I22:CG22"/>
    <mergeCell ref="BS3:BW3"/>
    <mergeCell ref="BX3:CB3"/>
    <mergeCell ref="CC3:CG3"/>
    <mergeCell ref="BD3:BH3"/>
    <mergeCell ref="BI3:BM3"/>
    <mergeCell ref="BN3:BR3"/>
    <mergeCell ref="AE3:AI3"/>
    <mergeCell ref="AJ3:AN3"/>
    <mergeCell ref="AO3:AS3"/>
    <mergeCell ref="AT3:AX3"/>
    <mergeCell ref="AY3:BC3"/>
  </mergeCells>
  <conditionalFormatting sqref="D6:D36">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4:DP6 I7 CH7:DP7 I14 CH14:DP14 I22 CH22:DP22 BM23:DP34 I23:BL36 I8:DP13 I15:DP21">
    <cfRule type="expression" dxfId="2" priority="36">
      <formula>AND(TODAY()&gt;=I$4,TODAY()&lt;J$4)</formula>
    </cfRule>
  </conditionalFormatting>
  <conditionalFormatting sqref="I6:DP6 I7 CH7:DP7 I14 CH14:DP14 I22 CH22:DP22 BM23:DP34 I23:BL36 I8:DP13 I15:DP21">
    <cfRule type="expression" dxfId="1" priority="30">
      <formula>AND(task_start&lt;=I$4,ROUNDDOWN((task_end-task_start+1)*task_progress,0)+task_start-1&gt;=I$4)</formula>
    </cfRule>
    <cfRule type="expression" dxfId="0" priority="31" stopIfTrue="1">
      <formula>AND(task_end&gt;=I$4,task_start&lt;J$4)</formula>
    </cfRule>
  </conditionalFormatting>
  <dataValidations disablePrompts="1" count="1">
    <dataValidation type="whole" operator="greaterThanOrEqual" allowBlank="1" showInputMessage="1" promptTitle="Mostrar semana" prompt="Al cambiar este número, se desplazará la vista del diagrama de Gantt." sqref="E3"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D6:D36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Carta Gatt</vt:lpstr>
      <vt:lpstr>Inicio_del_proyecto</vt:lpstr>
      <vt:lpstr>Semana_para_mostrar</vt:lpstr>
      <vt:lpstr>'Carta Gatt'!task_end</vt:lpstr>
      <vt:lpstr>'Carta Gatt'!task_progress</vt:lpstr>
      <vt:lpstr>'Carta Gatt'!task_start</vt:lpstr>
      <vt:lpstr>'Carta Gatt'!Títulos_a_imprimir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2025-09-13T00:56:58Z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