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de caja" sheetId="1" r:id="rId4"/>
    <sheet state="visible" name="Justificación de Sueldos" sheetId="2" r:id="rId5"/>
  </sheets>
  <definedNames/>
  <calcPr/>
  <extLst>
    <ext uri="GoogleSheetsCustomDataVersion2">
      <go:sheetsCustomData xmlns:go="http://customooxmlschemas.google.com/" r:id="rId6" roundtripDataChecksum="JYetk9lImV6x/mEAj6ikNzPQbohTA/IxY8M2lHLtpp8="/>
    </ext>
  </extLst>
</workbook>
</file>

<file path=xl/sharedStrings.xml><?xml version="1.0" encoding="utf-8"?>
<sst xmlns="http://schemas.openxmlformats.org/spreadsheetml/2006/main" count="90" uniqueCount="85">
  <si>
    <t>Fin de desarrollo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</si>
  <si>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</si>
  <si>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</si>
  <si>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</si>
  <si>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</si>
  <si>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</si>
  <si>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</si>
  <si>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</si>
  <si>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</si>
  <si>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</si>
  <si>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</si>
  <si>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</si>
  <si>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</si>
  <si>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</si>
  <si>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</si>
  <si>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</si>
  <si>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</si>
  <si>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</si>
  <si>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</si>
  <si>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</si>
  <si>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</si>
  <si>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</si>
  <si>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</si>
  <si>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</si>
  <si>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</si>
  <si>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INGRESOS</t>
  </si>
  <si>
    <t>Inversion Inicial de banco</t>
  </si>
  <si>
    <t xml:space="preserve">Obtención de publicidad </t>
  </si>
  <si>
    <t>Total Ingresos</t>
  </si>
  <si>
    <t>EGRESOS</t>
  </si>
  <si>
    <t>Salarios</t>
  </si>
  <si>
    <t>Microsoft Azure</t>
  </si>
  <si>
    <t>Licencia Android</t>
  </si>
  <si>
    <t>Licencia IOS</t>
  </si>
  <si>
    <t>Total Egresos</t>
  </si>
  <si>
    <t>Total NETO</t>
  </si>
  <si>
    <t>Total Flujo de caja</t>
  </si>
  <si>
    <t>Tasa de interes</t>
  </si>
  <si>
    <t>Inversion Ini</t>
  </si>
  <si>
    <t xml:space="preserve">VAN = </t>
  </si>
  <si>
    <t>Mes 1</t>
  </si>
  <si>
    <t>Mes 2</t>
  </si>
  <si>
    <t>Mes 3</t>
  </si>
  <si>
    <t>TIR =</t>
  </si>
  <si>
    <t>Mes 4</t>
  </si>
  <si>
    <t>Mes 5</t>
  </si>
  <si>
    <t>Mes 6</t>
  </si>
  <si>
    <t>Formula ROI en porcentaje =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</si>
  <si>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</si>
  <si>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</si>
  <si>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</si>
  <si>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</si>
  <si>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</si>
  <si>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</si>
  <si>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</si>
  <si>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</si>
  <si>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</si>
  <si>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</si>
  <si>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</si>
  <si>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</si>
  <si>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</si>
  <si>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</si>
  <si>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</si>
  <si>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</si>
  <si>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</si>
  <si>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</si>
  <si>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Cargo</t>
  </si>
  <si>
    <t>Enlace</t>
  </si>
  <si>
    <t>Rango</t>
  </si>
  <si>
    <t>Promedio</t>
  </si>
  <si>
    <t>Produc Owner</t>
  </si>
  <si>
    <t>https://www.roberthalf.com/cl/es/vacantes-detalles/jefe-de-producto</t>
  </si>
  <si>
    <t>https://www.talents.consulting/blog/contratando-a-un-product-owner-descripcion-de-cargo-salario-y-mas?</t>
  </si>
  <si>
    <t>https://www.paylab.com/cl/salaryinfo/management/product-owner?</t>
  </si>
  <si>
    <t>https://www.gerencia.cl/industria/sueldos-tecnologicos-en-chile-llegan-hasta-los-15-millones/?</t>
  </si>
  <si>
    <t>Total Promedio</t>
  </si>
  <si>
    <t>Scrum Master</t>
  </si>
  <si>
    <t>https://www.paylab.com/cl/salaryinfo/information-technology/scrum-master?search=1&amp;lang=en</t>
  </si>
  <si>
    <t>https://www.roberthalf.com/cl/es/vacantes-detalles/scrum-master</t>
  </si>
  <si>
    <t>Desarrollador FullStack</t>
  </si>
  <si>
    <t>https://www.roberthalf.com/cl/es/vacantes-detalles/desarrollador-full-stack</t>
  </si>
  <si>
    <t>https://www.paylab.com/cl/salaryinfo/information-technology/backend-developer?search=1&amp;lang=en</t>
  </si>
  <si>
    <t>https://www.paylab.com/cl/salaryinfo/information-technology/frontend-developer?search=1&amp;lang=en</t>
  </si>
  <si>
    <t>Suma total</t>
  </si>
  <si>
    <t>Suma de cargos por leyes sociales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</si>
</sst>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-340A]\ #,##0;\-[$$-340A]\ #,##0"/>
    <numFmt numFmtId="165" formatCode="_(&quot;$&quot;* #,##0_);_(&quot;$&quot;* \(#,##0\);_(&quot;$&quot;* &quot;-&quot;??_);_(@_)"/>
    <numFmt numFmtId="166" formatCode="#,##0.00\ [$€-1]"/>
    <numFmt numFmtId="167" formatCode="&quot;$&quot;#,##0"/>
  </numFmts>
  <fonts count="10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Calibri"/>
    </font>
    <font>
      <sz val="11.0"/>
      <color rgb="FFFFFFFF"/>
      <name val="Calibri"/>
    </font>
    <font/>
    <font>
      <color theme="1"/>
      <name val="Aptos narrow"/>
      <scheme val="minor"/>
    </font>
    <font>
      <sz val="13.0"/>
      <color rgb="FFFFFFFF"/>
      <name val="Calibri"/>
    </font>
    <font>
      <sz val="14.0"/>
      <color rgb="FFFFFFFF"/>
      <name val="Calibri"/>
    </font>
    <font>
      <u/>
      <color rgb="FF0563C1"/>
      <name val="Arial"/>
    </font>
    <font>
      <u/>
      <color rgb="FF0563C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9CC3E5"/>
        <bgColor rgb="FF9CC3E5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F2D2D"/>
        <bgColor rgb="FFFF2D2D"/>
      </patternFill>
    </fill>
    <fill>
      <patternFill patternType="solid">
        <fgColor rgb="FFFF9B9B"/>
        <bgColor rgb="FFFF9B9B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5B9BD5"/>
        <bgColor rgb="FF5B9BD5"/>
      </patternFill>
    </fill>
    <fill>
      <patternFill patternType="solid">
        <fgColor rgb="FF7030A0"/>
        <bgColor rgb="FF7030A0"/>
      </patternFill>
    </fill>
    <fill>
      <patternFill patternType="solid">
        <fgColor rgb="FF2F5496"/>
        <bgColor rgb="FF2F5496"/>
      </patternFill>
    </fill>
    <fill>
      <patternFill patternType="solid">
        <fgColor rgb="FF00B050"/>
        <bgColor rgb="FF00B050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4CCCC"/>
        <bgColor rgb="FFF4CCC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/>
    </border>
    <border>
      <bottom/>
    </border>
    <border>
      <right/>
      <top/>
    </border>
    <border>
      <right/>
      <bottom/>
    </border>
    <border>
      <right/>
    </border>
    <border>
      <left/>
      <top/>
    </border>
    <border>
      <left/>
      <right/>
      <top/>
    </border>
    <border>
      <left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Font="1"/>
    <xf borderId="1" fillId="3" fontId="2" numFmtId="0" xfId="0" applyBorder="1" applyFill="1" applyFont="1"/>
    <xf borderId="0" fillId="3" fontId="2" numFmtId="0" xfId="0" applyFont="1"/>
    <xf borderId="2" fillId="4" fontId="2" numFmtId="0" xfId="0" applyBorder="1" applyFill="1" applyFont="1"/>
    <xf borderId="3" fillId="4" fontId="2" numFmtId="0" xfId="0" applyBorder="1" applyFont="1"/>
    <xf borderId="1" fillId="4" fontId="2" numFmtId="164" xfId="0" applyBorder="1" applyFont="1" applyNumberFormat="1"/>
    <xf borderId="0" fillId="4" fontId="2" numFmtId="164" xfId="0" applyFont="1" applyNumberFormat="1"/>
    <xf borderId="4" fillId="5" fontId="2" numFmtId="0" xfId="0" applyAlignment="1" applyBorder="1" applyFill="1" applyFont="1">
      <alignment readingOrder="0"/>
    </xf>
    <xf borderId="5" fillId="5" fontId="2" numFmtId="0" xfId="0" applyBorder="1" applyFont="1"/>
    <xf borderId="1" fillId="5" fontId="2" numFmtId="164" xfId="0" applyAlignment="1" applyBorder="1" applyFont="1" applyNumberFormat="1">
      <alignment readingOrder="0"/>
    </xf>
    <xf borderId="1" fillId="5" fontId="2" numFmtId="164" xfId="0" applyBorder="1" applyFont="1" applyNumberFormat="1"/>
    <xf borderId="0" fillId="5" fontId="2" numFmtId="164" xfId="0" applyFont="1" applyNumberFormat="1"/>
    <xf borderId="6" fillId="5" fontId="2" numFmtId="0" xfId="0" applyAlignment="1" applyBorder="1" applyFont="1">
      <alignment readingOrder="0"/>
    </xf>
    <xf borderId="7" fillId="5" fontId="2" numFmtId="0" xfId="0" applyBorder="1" applyFont="1"/>
    <xf borderId="2" fillId="6" fontId="3" numFmtId="0" xfId="0" applyBorder="1" applyFill="1" applyFont="1"/>
    <xf borderId="3" fillId="6" fontId="2" numFmtId="0" xfId="0" applyBorder="1" applyFont="1"/>
    <xf borderId="1" fillId="6" fontId="2" numFmtId="164" xfId="0" applyBorder="1" applyFont="1" applyNumberFormat="1"/>
    <xf borderId="0" fillId="6" fontId="2" numFmtId="164" xfId="0" applyFont="1" applyNumberFormat="1"/>
    <xf borderId="8" fillId="7" fontId="2" numFmtId="0" xfId="0" applyBorder="1" applyFill="1" applyFont="1"/>
    <xf borderId="9" fillId="0" fontId="4" numFmtId="0" xfId="0" applyBorder="1" applyFont="1"/>
    <xf borderId="1" fillId="7" fontId="2" numFmtId="164" xfId="0" applyAlignment="1" applyBorder="1" applyFont="1" applyNumberFormat="1">
      <alignment readingOrder="0"/>
    </xf>
    <xf borderId="0" fillId="7" fontId="2" numFmtId="164" xfId="0" applyAlignment="1" applyFont="1" applyNumberFormat="1">
      <alignment readingOrder="0"/>
    </xf>
    <xf borderId="8" fillId="7" fontId="2" numFmtId="0" xfId="0" applyAlignment="1" applyBorder="1" applyFont="1">
      <alignment readingOrder="0"/>
    </xf>
    <xf borderId="10" fillId="7" fontId="2" numFmtId="0" xfId="0" applyAlignment="1" applyBorder="1" applyFont="1">
      <alignment readingOrder="0"/>
    </xf>
    <xf borderId="1" fillId="6" fontId="3" numFmtId="164" xfId="0" applyBorder="1" applyFont="1" applyNumberFormat="1"/>
    <xf borderId="0" fillId="6" fontId="3" numFmtId="164" xfId="0" applyFont="1" applyNumberFormat="1"/>
    <xf borderId="2" fillId="8" fontId="2" numFmtId="0" xfId="0" applyBorder="1" applyFill="1" applyFont="1"/>
    <xf borderId="3" fillId="8" fontId="2" numFmtId="0" xfId="0" applyBorder="1" applyFont="1"/>
    <xf borderId="1" fillId="8" fontId="2" numFmtId="164" xfId="0" applyBorder="1" applyFont="1" applyNumberFormat="1"/>
    <xf borderId="0" fillId="8" fontId="2" numFmtId="164" xfId="0" applyFont="1" applyNumberFormat="1"/>
    <xf borderId="2" fillId="9" fontId="2" numFmtId="0" xfId="0" applyBorder="1" applyFill="1" applyFont="1"/>
    <xf borderId="3" fillId="9" fontId="2" numFmtId="0" xfId="0" applyBorder="1" applyFont="1"/>
    <xf borderId="1" fillId="9" fontId="2" numFmtId="164" xfId="0" applyBorder="1" applyFont="1" applyNumberFormat="1"/>
    <xf borderId="0" fillId="9" fontId="2" numFmtId="164" xfId="0" applyFont="1" applyNumberFormat="1"/>
    <xf borderId="1" fillId="10" fontId="2" numFmtId="165" xfId="0" applyBorder="1" applyFill="1" applyFont="1" applyNumberFormat="1"/>
    <xf borderId="1" fillId="10" fontId="2" numFmtId="10" xfId="0" applyAlignment="1" applyBorder="1" applyFont="1" applyNumberFormat="1">
      <alignment horizontal="right" readingOrder="0"/>
    </xf>
    <xf borderId="1" fillId="9" fontId="2" numFmtId="165" xfId="0" applyBorder="1" applyFont="1" applyNumberFormat="1"/>
    <xf borderId="1" fillId="7" fontId="2" numFmtId="165" xfId="0" applyBorder="1" applyFont="1" applyNumberFormat="1"/>
    <xf borderId="1" fillId="7" fontId="2" numFmtId="165" xfId="0" applyAlignment="1" applyBorder="1" applyFont="1" applyNumberFormat="1">
      <alignment readingOrder="0"/>
    </xf>
    <xf borderId="1" fillId="0" fontId="2" numFmtId="165" xfId="0" applyBorder="1" applyFont="1" applyNumberFormat="1"/>
    <xf borderId="11" fillId="11" fontId="3" numFmtId="0" xfId="0" applyAlignment="1" applyBorder="1" applyFill="1" applyFont="1">
      <alignment horizontal="center" readingOrder="0" vertical="center"/>
    </xf>
    <xf borderId="11" fillId="11" fontId="3" numFmtId="166" xfId="0" applyAlignment="1" applyBorder="1" applyFont="1" applyNumberFormat="1">
      <alignment horizontal="center" vertical="center"/>
    </xf>
    <xf borderId="0" fillId="0" fontId="2" numFmtId="164" xfId="0" applyFont="1" applyNumberFormat="1"/>
    <xf borderId="0" fillId="0" fontId="1" numFmtId="164" xfId="0" applyAlignment="1" applyFont="1" applyNumberFormat="1">
      <alignment readingOrder="0"/>
    </xf>
    <xf borderId="0" fillId="0" fontId="5" numFmtId="164" xfId="0" applyFont="1" applyNumberFormat="1"/>
    <xf borderId="1" fillId="0" fontId="5" numFmtId="164" xfId="0" applyBorder="1" applyFont="1" applyNumberFormat="1"/>
    <xf borderId="12" fillId="0" fontId="4" numFmtId="0" xfId="0" applyBorder="1" applyFont="1"/>
    <xf borderId="13" fillId="12" fontId="3" numFmtId="0" xfId="0" applyAlignment="1" applyBorder="1" applyFill="1" applyFont="1">
      <alignment horizontal="center" readingOrder="0" vertical="center"/>
    </xf>
    <xf borderId="13" fillId="12" fontId="3" numFmtId="10" xfId="0" applyAlignment="1" applyBorder="1" applyFont="1" applyNumberForma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16" fillId="13" fontId="6" numFmtId="0" xfId="0" applyAlignment="1" applyBorder="1" applyFill="1" applyFont="1">
      <alignment horizontal="center" readingOrder="0" vertical="center"/>
    </xf>
    <xf borderId="13" fillId="0" fontId="4" numFmtId="0" xfId="0" applyBorder="1" applyFont="1"/>
    <xf borderId="17" fillId="13" fontId="7" numFmtId="10" xfId="0" applyAlignment="1" applyBorder="1" applyFont="1" applyNumberFormat="1">
      <alignment horizontal="left" vertical="center"/>
    </xf>
    <xf borderId="18" fillId="0" fontId="4" numFmtId="0" xfId="0" applyBorder="1" applyFont="1"/>
    <xf borderId="19" fillId="0" fontId="4" numFmtId="0" xfId="0" applyBorder="1" applyFont="1"/>
    <xf borderId="0" fillId="0" fontId="5" numFmtId="10" xfId="0" applyFont="1" applyNumberFormat="1"/>
    <xf borderId="1" fillId="14" fontId="1" numFmtId="0" xfId="0" applyAlignment="1" applyBorder="1" applyFill="1" applyFont="1">
      <alignment horizontal="center" vertical="center"/>
    </xf>
    <xf borderId="8" fillId="14" fontId="1" numFmtId="0" xfId="0" applyAlignment="1" applyBorder="1" applyFont="1">
      <alignment horizontal="center" vertical="center"/>
    </xf>
    <xf borderId="20" fillId="15" fontId="1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left" vertical="center"/>
    </xf>
    <xf borderId="1" fillId="0" fontId="1" numFmtId="167" xfId="0" applyAlignment="1" applyBorder="1" applyFont="1" applyNumberForma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0" fillId="0" fontId="1" numFmtId="0" xfId="0" applyAlignment="1" applyFont="1">
      <alignment horizontal="center" vertical="center"/>
    </xf>
    <xf borderId="10" fillId="0" fontId="1" numFmtId="167" xfId="0" applyAlignment="1" applyBorder="1" applyFont="1" applyNumberFormat="1">
      <alignment horizontal="left" vertical="center"/>
    </xf>
    <xf borderId="10" fillId="0" fontId="1" numFmtId="167" xfId="0" applyAlignment="1" applyBorder="1" applyFont="1" applyNumberFormat="1">
      <alignment horizontal="center" vertical="center"/>
    </xf>
    <xf borderId="8" fillId="16" fontId="1" numFmtId="167" xfId="0" applyAlignment="1" applyBorder="1" applyFill="1" applyFont="1" applyNumberFormat="1">
      <alignment horizontal="center" vertical="center"/>
    </xf>
    <xf borderId="1" fillId="16" fontId="1" numFmtId="167" xfId="0" applyAlignment="1" applyBorder="1" applyFont="1" applyNumberFormat="1">
      <alignment horizontal="center" vertical="center"/>
    </xf>
    <xf borderId="20" fillId="0" fontId="9" numFmtId="0" xfId="0" applyAlignment="1" applyBorder="1" applyFont="1">
      <alignment horizontal="left" vertical="center"/>
    </xf>
    <xf borderId="20" fillId="0" fontId="1" numFmtId="167" xfId="0" applyAlignment="1" applyBorder="1" applyFont="1" applyNumberFormat="1">
      <alignment horizontal="center" vertical="center"/>
    </xf>
    <xf borderId="23" fillId="0" fontId="1" numFmtId="167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/>
    </xf>
    <xf borderId="0" fillId="0" fontId="5" numFmtId="167" xfId="0" applyFont="1" applyNumberFormat="1"/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oberthalf.com/cl/es/vacantes-detalles/jefe-de-producto" TargetMode="External"/><Relationship Id="rId2" Type="http://schemas.openxmlformats.org/officeDocument/2006/relationships/hyperlink" Target="https://www.talents.consulting/blog/contratando-a-un-product-owner-descripcion-de-cargo-salario-y-mas?" TargetMode="External"/><Relationship Id="rId3" Type="http://schemas.openxmlformats.org/officeDocument/2006/relationships/hyperlink" Target="https://www.paylab.com/cl/salaryinfo/management/product-owner?" TargetMode="External"/><Relationship Id="rId4" Type="http://schemas.openxmlformats.org/officeDocument/2006/relationships/hyperlink" Target="https://www.gerencia.cl/industria/sueldos-tecnologicos-en-chile-llegan-hasta-los-15-millones/?" TargetMode="External"/><Relationship Id="rId11" Type="http://schemas.openxmlformats.org/officeDocument/2006/relationships/hyperlink" Target="https://www.gerencia.cl/industria/sueldos-tecnologicos-en-chile-llegan-hasta-los-15-millones/?" TargetMode="External"/><Relationship Id="rId10" Type="http://schemas.openxmlformats.org/officeDocument/2006/relationships/hyperlink" Target="https://www.paylab.com/cl/salaryinfo/information-technology/frontend-developer?search=1&amp;lang=en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www.paylab.com/cl/salaryinfo/information-technology/backend-developer?search=1&amp;lang=en" TargetMode="External"/><Relationship Id="rId5" Type="http://schemas.openxmlformats.org/officeDocument/2006/relationships/hyperlink" Target="https://www.gerencia.cl/industria/sueldos-tecnologicos-en-chile-llegan-hasta-los-15-millones/?" TargetMode="External"/><Relationship Id="rId6" Type="http://schemas.openxmlformats.org/officeDocument/2006/relationships/hyperlink" Target="https://www.paylab.com/cl/salaryinfo/information-technology/scrum-master?search=1&amp;lang=en" TargetMode="External"/><Relationship Id="rId7" Type="http://schemas.openxmlformats.org/officeDocument/2006/relationships/hyperlink" Target="https://www.roberthalf.com/cl/es/vacantes-detalles/scrum-master" TargetMode="External"/><Relationship Id="rId8" Type="http://schemas.openxmlformats.org/officeDocument/2006/relationships/hyperlink" Target="https://www.roberthalf.com/cl/es/vacantes-detalles/desarrollador-full-st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5.13"/>
    <col customWidth="1" min="7" max="7" width="14.63"/>
  </cols>
  <sheetData>
    <row r="2">
      <c r="G2" s="1" t="s">
        <v>0</v>
      </c>
    </row>
    <row r="3">
      <c r="B3" s="2"/>
      <c r="C3" s="2"/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4"/>
      <c r="AC3" s="4"/>
    </row>
    <row r="4">
      <c r="B4" s="5" t="s">
        <v>25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8"/>
    </row>
    <row r="5">
      <c r="B5" s="9" t="s">
        <v>26</v>
      </c>
      <c r="C5" s="10"/>
      <c r="D5" s="11">
        <v>4.5E7</v>
      </c>
      <c r="E5" s="12">
        <v>0.0</v>
      </c>
      <c r="F5" s="12">
        <v>0.0</v>
      </c>
      <c r="G5" s="12">
        <v>0.0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2">
        <v>0.0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2">
        <v>0.0</v>
      </c>
      <c r="AA5" s="12">
        <v>0.0</v>
      </c>
      <c r="AB5" s="13"/>
      <c r="AC5" s="13"/>
    </row>
    <row r="6">
      <c r="B6" s="14" t="s">
        <v>27</v>
      </c>
      <c r="C6" s="15"/>
      <c r="D6" s="12">
        <v>0.0</v>
      </c>
      <c r="E6" s="12">
        <v>0.0</v>
      </c>
      <c r="F6" s="12">
        <v>0.0</v>
      </c>
      <c r="G6" s="12">
        <v>0.0</v>
      </c>
      <c r="H6" s="11">
        <v>500000.0</v>
      </c>
      <c r="I6" s="12">
        <f t="shared" ref="I6:AA6" si="1">(H6*1.15)</f>
        <v>575000</v>
      </c>
      <c r="J6" s="12">
        <f t="shared" si="1"/>
        <v>661250</v>
      </c>
      <c r="K6" s="12">
        <f t="shared" si="1"/>
        <v>760437.5</v>
      </c>
      <c r="L6" s="12">
        <f t="shared" si="1"/>
        <v>874503.125</v>
      </c>
      <c r="M6" s="12">
        <f t="shared" si="1"/>
        <v>1005678.594</v>
      </c>
      <c r="N6" s="12">
        <f t="shared" si="1"/>
        <v>1156530.383</v>
      </c>
      <c r="O6" s="12">
        <f t="shared" si="1"/>
        <v>1330009.94</v>
      </c>
      <c r="P6" s="12">
        <f t="shared" si="1"/>
        <v>1529511.431</v>
      </c>
      <c r="Q6" s="12">
        <f t="shared" si="1"/>
        <v>1758938.146</v>
      </c>
      <c r="R6" s="12">
        <f t="shared" si="1"/>
        <v>2022778.868</v>
      </c>
      <c r="S6" s="12">
        <f t="shared" si="1"/>
        <v>2326195.698</v>
      </c>
      <c r="T6" s="12">
        <f t="shared" si="1"/>
        <v>2675125.053</v>
      </c>
      <c r="U6" s="12">
        <f t="shared" si="1"/>
        <v>3076393.811</v>
      </c>
      <c r="V6" s="12">
        <f t="shared" si="1"/>
        <v>3537852.882</v>
      </c>
      <c r="W6" s="12">
        <f t="shared" si="1"/>
        <v>4068530.815</v>
      </c>
      <c r="X6" s="12">
        <f t="shared" si="1"/>
        <v>4678810.437</v>
      </c>
      <c r="Y6" s="12">
        <f t="shared" si="1"/>
        <v>5380632.002</v>
      </c>
      <c r="Z6" s="12">
        <f t="shared" si="1"/>
        <v>6187726.803</v>
      </c>
      <c r="AA6" s="12">
        <f t="shared" si="1"/>
        <v>7115885.823</v>
      </c>
      <c r="AB6" s="13"/>
      <c r="AC6" s="13"/>
    </row>
    <row r="7">
      <c r="B7" s="5" t="s">
        <v>28</v>
      </c>
      <c r="C7" s="6"/>
      <c r="D7" s="7">
        <f t="shared" ref="D7:AA7" si="2">SUM(D4:D6)</f>
        <v>45000000</v>
      </c>
      <c r="E7" s="7">
        <f t="shared" si="2"/>
        <v>0</v>
      </c>
      <c r="F7" s="7">
        <f t="shared" si="2"/>
        <v>0</v>
      </c>
      <c r="G7" s="7">
        <f t="shared" si="2"/>
        <v>0</v>
      </c>
      <c r="H7" s="7">
        <f t="shared" si="2"/>
        <v>500000</v>
      </c>
      <c r="I7" s="7">
        <f t="shared" si="2"/>
        <v>575000</v>
      </c>
      <c r="J7" s="7">
        <f t="shared" si="2"/>
        <v>661250</v>
      </c>
      <c r="K7" s="7">
        <f t="shared" si="2"/>
        <v>760437.5</v>
      </c>
      <c r="L7" s="7">
        <f t="shared" si="2"/>
        <v>874503.125</v>
      </c>
      <c r="M7" s="7">
        <f t="shared" si="2"/>
        <v>1005678.594</v>
      </c>
      <c r="N7" s="7">
        <f t="shared" si="2"/>
        <v>1156530.383</v>
      </c>
      <c r="O7" s="7">
        <f t="shared" si="2"/>
        <v>1330009.94</v>
      </c>
      <c r="P7" s="7">
        <f t="shared" si="2"/>
        <v>1529511.431</v>
      </c>
      <c r="Q7" s="7">
        <f t="shared" si="2"/>
        <v>1758938.146</v>
      </c>
      <c r="R7" s="7">
        <f t="shared" si="2"/>
        <v>2022778.868</v>
      </c>
      <c r="S7" s="7">
        <f t="shared" si="2"/>
        <v>2326195.698</v>
      </c>
      <c r="T7" s="7">
        <f t="shared" si="2"/>
        <v>2675125.053</v>
      </c>
      <c r="U7" s="7">
        <f t="shared" si="2"/>
        <v>3076393.811</v>
      </c>
      <c r="V7" s="7">
        <f t="shared" si="2"/>
        <v>3537852.882</v>
      </c>
      <c r="W7" s="7">
        <f t="shared" si="2"/>
        <v>4068530.815</v>
      </c>
      <c r="X7" s="7">
        <f t="shared" si="2"/>
        <v>4678810.437</v>
      </c>
      <c r="Y7" s="7">
        <f t="shared" si="2"/>
        <v>5380632.002</v>
      </c>
      <c r="Z7" s="7">
        <f t="shared" si="2"/>
        <v>6187726.803</v>
      </c>
      <c r="AA7" s="7">
        <f t="shared" si="2"/>
        <v>7115885.823</v>
      </c>
      <c r="AB7" s="8"/>
      <c r="AC7" s="8"/>
    </row>
    <row r="8">
      <c r="B8" s="16" t="s">
        <v>29</v>
      </c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/>
    </row>
    <row r="9">
      <c r="B9" s="20" t="s">
        <v>30</v>
      </c>
      <c r="C9" s="21"/>
      <c r="D9" s="22">
        <v>1.0142251E7</v>
      </c>
      <c r="E9" s="22">
        <v>1.0142251E7</v>
      </c>
      <c r="F9" s="22">
        <v>1.0142251E7</v>
      </c>
      <c r="G9" s="22">
        <v>1.0142251E7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3"/>
      <c r="AC9" s="23"/>
    </row>
    <row r="10">
      <c r="B10" s="24" t="s">
        <v>31</v>
      </c>
      <c r="C10" s="21"/>
      <c r="D10" s="22">
        <v>0.0</v>
      </c>
      <c r="E10" s="22">
        <v>0.0</v>
      </c>
      <c r="F10" s="22">
        <v>0.0</v>
      </c>
      <c r="G10" s="22">
        <v>56000.0</v>
      </c>
      <c r="H10" s="22">
        <v>56000.0</v>
      </c>
      <c r="I10" s="22">
        <v>56000.0</v>
      </c>
      <c r="J10" s="22">
        <v>56000.0</v>
      </c>
      <c r="K10" s="22">
        <v>56000.0</v>
      </c>
      <c r="L10" s="22">
        <v>56000.0</v>
      </c>
      <c r="M10" s="22">
        <v>56000.0</v>
      </c>
      <c r="N10" s="22">
        <v>56000.0</v>
      </c>
      <c r="O10" s="22">
        <v>56000.0</v>
      </c>
      <c r="P10" s="22">
        <v>56000.0</v>
      </c>
      <c r="Q10" s="22">
        <v>56000.0</v>
      </c>
      <c r="R10" s="22">
        <v>56000.0</v>
      </c>
      <c r="S10" s="22">
        <v>56000.0</v>
      </c>
      <c r="T10" s="22">
        <v>56000.0</v>
      </c>
      <c r="U10" s="22">
        <v>56000.0</v>
      </c>
      <c r="V10" s="22">
        <v>56000.0</v>
      </c>
      <c r="W10" s="22">
        <v>56000.0</v>
      </c>
      <c r="X10" s="22">
        <v>56000.0</v>
      </c>
      <c r="Y10" s="22">
        <v>56000.0</v>
      </c>
      <c r="Z10" s="22">
        <v>56000.0</v>
      </c>
      <c r="AA10" s="22">
        <v>56000.0</v>
      </c>
      <c r="AB10" s="23"/>
      <c r="AC10" s="23"/>
    </row>
    <row r="11">
      <c r="B11" s="24" t="s">
        <v>32</v>
      </c>
      <c r="C11" s="25"/>
      <c r="D11" s="22">
        <v>0.0</v>
      </c>
      <c r="E11" s="22">
        <v>0.0</v>
      </c>
      <c r="F11" s="22">
        <v>0.0</v>
      </c>
      <c r="G11" s="22">
        <v>23204.0</v>
      </c>
      <c r="H11" s="22">
        <v>0.0</v>
      </c>
      <c r="I11" s="22">
        <v>0.0</v>
      </c>
      <c r="J11" s="22">
        <v>0.0</v>
      </c>
      <c r="K11" s="22">
        <v>0.0</v>
      </c>
      <c r="L11" s="22">
        <v>0.0</v>
      </c>
      <c r="M11" s="22">
        <v>0.0</v>
      </c>
      <c r="N11" s="22">
        <v>0.0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2">
        <v>0.0</v>
      </c>
      <c r="V11" s="22">
        <v>0.0</v>
      </c>
      <c r="W11" s="22">
        <v>0.0</v>
      </c>
      <c r="X11" s="22">
        <v>0.0</v>
      </c>
      <c r="Y11" s="22">
        <v>0.0</v>
      </c>
      <c r="Z11" s="22">
        <v>0.0</v>
      </c>
      <c r="AA11" s="22">
        <v>0.0</v>
      </c>
      <c r="AB11" s="23"/>
      <c r="AC11" s="23"/>
    </row>
    <row r="12">
      <c r="B12" s="24" t="s">
        <v>33</v>
      </c>
      <c r="C12" s="25"/>
      <c r="D12" s="22">
        <v>0.0</v>
      </c>
      <c r="E12" s="22">
        <v>0.0</v>
      </c>
      <c r="F12" s="22">
        <v>0.0</v>
      </c>
      <c r="G12" s="22">
        <v>91886.0</v>
      </c>
      <c r="H12" s="22">
        <v>0.0</v>
      </c>
      <c r="I12" s="22">
        <v>0.0</v>
      </c>
      <c r="J12" s="22">
        <v>0.0</v>
      </c>
      <c r="K12" s="22">
        <v>0.0</v>
      </c>
      <c r="L12" s="22">
        <v>0.0</v>
      </c>
      <c r="M12" s="22">
        <v>0.0</v>
      </c>
      <c r="N12" s="22">
        <v>0.0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2">
        <v>0.0</v>
      </c>
      <c r="V12" s="22">
        <v>0.0</v>
      </c>
      <c r="W12" s="22">
        <v>0.0</v>
      </c>
      <c r="X12" s="22">
        <v>0.0</v>
      </c>
      <c r="Y12" s="22">
        <v>0.0</v>
      </c>
      <c r="Z12" s="22">
        <v>0.0</v>
      </c>
      <c r="AA12" s="22">
        <v>0.0</v>
      </c>
      <c r="AB12" s="23"/>
      <c r="AC12" s="23"/>
    </row>
    <row r="13">
      <c r="B13" s="16" t="s">
        <v>34</v>
      </c>
      <c r="C13" s="17"/>
      <c r="D13" s="26">
        <f t="shared" ref="D13:AA13" si="3">SUM(D9:D12)</f>
        <v>10142251</v>
      </c>
      <c r="E13" s="26">
        <f t="shared" si="3"/>
        <v>10142251</v>
      </c>
      <c r="F13" s="26">
        <f t="shared" si="3"/>
        <v>10142251</v>
      </c>
      <c r="G13" s="26">
        <f t="shared" si="3"/>
        <v>10313341</v>
      </c>
      <c r="H13" s="26">
        <f t="shared" si="3"/>
        <v>56000</v>
      </c>
      <c r="I13" s="26">
        <f t="shared" si="3"/>
        <v>56000</v>
      </c>
      <c r="J13" s="26">
        <f t="shared" si="3"/>
        <v>56000</v>
      </c>
      <c r="K13" s="26">
        <f t="shared" si="3"/>
        <v>56000</v>
      </c>
      <c r="L13" s="26">
        <f t="shared" si="3"/>
        <v>56000</v>
      </c>
      <c r="M13" s="26">
        <f t="shared" si="3"/>
        <v>56000</v>
      </c>
      <c r="N13" s="26">
        <f t="shared" si="3"/>
        <v>56000</v>
      </c>
      <c r="O13" s="26">
        <f t="shared" si="3"/>
        <v>56000</v>
      </c>
      <c r="P13" s="26">
        <f t="shared" si="3"/>
        <v>56000</v>
      </c>
      <c r="Q13" s="26">
        <f t="shared" si="3"/>
        <v>56000</v>
      </c>
      <c r="R13" s="26">
        <f t="shared" si="3"/>
        <v>56000</v>
      </c>
      <c r="S13" s="26">
        <f t="shared" si="3"/>
        <v>56000</v>
      </c>
      <c r="T13" s="26">
        <f t="shared" si="3"/>
        <v>56000</v>
      </c>
      <c r="U13" s="26">
        <f t="shared" si="3"/>
        <v>56000</v>
      </c>
      <c r="V13" s="26">
        <f t="shared" si="3"/>
        <v>56000</v>
      </c>
      <c r="W13" s="26">
        <f t="shared" si="3"/>
        <v>56000</v>
      </c>
      <c r="X13" s="26">
        <f t="shared" si="3"/>
        <v>56000</v>
      </c>
      <c r="Y13" s="26">
        <f t="shared" si="3"/>
        <v>56000</v>
      </c>
      <c r="Z13" s="26">
        <f t="shared" si="3"/>
        <v>56000</v>
      </c>
      <c r="AA13" s="26">
        <f t="shared" si="3"/>
        <v>56000</v>
      </c>
      <c r="AB13" s="27"/>
      <c r="AC13" s="27"/>
    </row>
    <row r="14">
      <c r="B14" s="28" t="s">
        <v>35</v>
      </c>
      <c r="C14" s="29"/>
      <c r="D14" s="30">
        <f t="shared" ref="D14:AA14" si="4">D7-D13</f>
        <v>34857749</v>
      </c>
      <c r="E14" s="30">
        <f t="shared" si="4"/>
        <v>-10142251</v>
      </c>
      <c r="F14" s="30">
        <f t="shared" si="4"/>
        <v>-10142251</v>
      </c>
      <c r="G14" s="30">
        <f t="shared" si="4"/>
        <v>-10313341</v>
      </c>
      <c r="H14" s="30">
        <f t="shared" si="4"/>
        <v>444000</v>
      </c>
      <c r="I14" s="30">
        <f t="shared" si="4"/>
        <v>519000</v>
      </c>
      <c r="J14" s="30">
        <f t="shared" si="4"/>
        <v>605250</v>
      </c>
      <c r="K14" s="30">
        <f t="shared" si="4"/>
        <v>704437.5</v>
      </c>
      <c r="L14" s="30">
        <f t="shared" si="4"/>
        <v>818503.125</v>
      </c>
      <c r="M14" s="30">
        <f t="shared" si="4"/>
        <v>949678.5938</v>
      </c>
      <c r="N14" s="30">
        <f t="shared" si="4"/>
        <v>1100530.383</v>
      </c>
      <c r="O14" s="30">
        <f t="shared" si="4"/>
        <v>1274009.94</v>
      </c>
      <c r="P14" s="30">
        <f t="shared" si="4"/>
        <v>1473511.431</v>
      </c>
      <c r="Q14" s="30">
        <f t="shared" si="4"/>
        <v>1702938.146</v>
      </c>
      <c r="R14" s="30">
        <f t="shared" si="4"/>
        <v>1966778.868</v>
      </c>
      <c r="S14" s="30">
        <f t="shared" si="4"/>
        <v>2270195.698</v>
      </c>
      <c r="T14" s="30">
        <f t="shared" si="4"/>
        <v>2619125.053</v>
      </c>
      <c r="U14" s="30">
        <f t="shared" si="4"/>
        <v>3020393.811</v>
      </c>
      <c r="V14" s="30">
        <f t="shared" si="4"/>
        <v>3481852.882</v>
      </c>
      <c r="W14" s="30">
        <f t="shared" si="4"/>
        <v>4012530.815</v>
      </c>
      <c r="X14" s="30">
        <f t="shared" si="4"/>
        <v>4622810.437</v>
      </c>
      <c r="Y14" s="30">
        <f t="shared" si="4"/>
        <v>5324632.002</v>
      </c>
      <c r="Z14" s="30">
        <f t="shared" si="4"/>
        <v>6131726.803</v>
      </c>
      <c r="AA14" s="30">
        <f t="shared" si="4"/>
        <v>7059885.823</v>
      </c>
      <c r="AB14" s="31"/>
      <c r="AC14" s="31"/>
    </row>
    <row r="15">
      <c r="B15" s="32" t="s">
        <v>36</v>
      </c>
      <c r="C15" s="33"/>
      <c r="D15" s="34">
        <f>D14</f>
        <v>34857749</v>
      </c>
      <c r="E15" s="34">
        <f t="shared" ref="E15:G15" si="5">E14+D15</f>
        <v>24715498</v>
      </c>
      <c r="F15" s="34">
        <f t="shared" si="5"/>
        <v>14573247</v>
      </c>
      <c r="G15" s="34">
        <f t="shared" si="5"/>
        <v>4259906</v>
      </c>
      <c r="H15" s="34">
        <f>H14</f>
        <v>444000</v>
      </c>
      <c r="I15" s="34">
        <f t="shared" ref="I15:AA15" si="6">I14+H15</f>
        <v>963000</v>
      </c>
      <c r="J15" s="34">
        <f t="shared" si="6"/>
        <v>1568250</v>
      </c>
      <c r="K15" s="34">
        <f t="shared" si="6"/>
        <v>2272687.5</v>
      </c>
      <c r="L15" s="34">
        <f t="shared" si="6"/>
        <v>3091190.625</v>
      </c>
      <c r="M15" s="34">
        <f t="shared" si="6"/>
        <v>4040869.219</v>
      </c>
      <c r="N15" s="34">
        <f t="shared" si="6"/>
        <v>5141399.602</v>
      </c>
      <c r="O15" s="34">
        <f t="shared" si="6"/>
        <v>6415409.542</v>
      </c>
      <c r="P15" s="34">
        <f t="shared" si="6"/>
        <v>7888920.973</v>
      </c>
      <c r="Q15" s="34">
        <f t="shared" si="6"/>
        <v>9591859.119</v>
      </c>
      <c r="R15" s="34">
        <f t="shared" si="6"/>
        <v>11558637.99</v>
      </c>
      <c r="S15" s="34">
        <f t="shared" si="6"/>
        <v>13828833.68</v>
      </c>
      <c r="T15" s="34">
        <f t="shared" si="6"/>
        <v>16447958.74</v>
      </c>
      <c r="U15" s="34">
        <f t="shared" si="6"/>
        <v>19468352.55</v>
      </c>
      <c r="V15" s="34">
        <f t="shared" si="6"/>
        <v>22950205.43</v>
      </c>
      <c r="W15" s="34">
        <f t="shared" si="6"/>
        <v>26962736.25</v>
      </c>
      <c r="X15" s="34">
        <f t="shared" si="6"/>
        <v>31585546.68</v>
      </c>
      <c r="Y15" s="34">
        <f t="shared" si="6"/>
        <v>36910178.68</v>
      </c>
      <c r="Z15" s="34">
        <f t="shared" si="6"/>
        <v>43041905.49</v>
      </c>
      <c r="AA15" s="34">
        <f t="shared" si="6"/>
        <v>50101791.31</v>
      </c>
      <c r="AB15" s="35"/>
      <c r="AC15" s="35"/>
    </row>
    <row r="18">
      <c r="B18" s="36" t="s">
        <v>37</v>
      </c>
      <c r="C18" s="37">
        <v>0.01</v>
      </c>
      <c r="D18" s="38" t="s">
        <v>36</v>
      </c>
      <c r="F18" s="2"/>
      <c r="G18" s="2"/>
      <c r="H18" s="2"/>
    </row>
    <row r="19">
      <c r="B19" s="39" t="s">
        <v>38</v>
      </c>
      <c r="C19" s="40">
        <v>-4.5E7</v>
      </c>
      <c r="D19" s="41"/>
      <c r="F19" s="42" t="s">
        <v>39</v>
      </c>
      <c r="G19" s="43">
        <f t="array" ref="G19">NPV(C18,C20:C43)+C19</f>
        <v>1446886.718</v>
      </c>
      <c r="H19" s="2"/>
      <c r="P19" s="44"/>
      <c r="R19" s="45"/>
      <c r="S19" s="46"/>
      <c r="T19" s="46"/>
      <c r="U19" s="46"/>
    </row>
    <row r="20">
      <c r="B20" s="41" t="s">
        <v>40</v>
      </c>
      <c r="C20" s="47">
        <v>3.4857749E7</v>
      </c>
      <c r="D20" s="47">
        <v>3.4857749E7</v>
      </c>
      <c r="F20" s="48"/>
      <c r="G20" s="48"/>
      <c r="H20" s="2"/>
      <c r="P20" s="44"/>
      <c r="R20" s="46"/>
    </row>
    <row r="21">
      <c r="B21" s="41" t="s">
        <v>41</v>
      </c>
      <c r="C21" s="47">
        <v>-1.0142251E7</v>
      </c>
      <c r="D21" s="47">
        <v>2.4715498E7</v>
      </c>
      <c r="F21" s="2"/>
      <c r="G21" s="2"/>
      <c r="H21" s="2"/>
      <c r="P21" s="44"/>
      <c r="R21" s="46"/>
    </row>
    <row r="22">
      <c r="B22" s="41" t="s">
        <v>42</v>
      </c>
      <c r="C22" s="47">
        <v>-1.0142251E7</v>
      </c>
      <c r="D22" s="47">
        <v>1.4573247E7</v>
      </c>
      <c r="F22" s="49" t="s">
        <v>43</v>
      </c>
      <c r="G22" s="50">
        <f>IRR(C19:C43)
</f>
        <v>0.01208923449</v>
      </c>
      <c r="H22" s="2"/>
      <c r="P22" s="44"/>
      <c r="R22" s="46"/>
    </row>
    <row r="23">
      <c r="B23" s="41" t="s">
        <v>44</v>
      </c>
      <c r="C23" s="47">
        <v>-1.0313341E7</v>
      </c>
      <c r="D23" s="47">
        <v>4259906.0</v>
      </c>
      <c r="F23" s="51"/>
      <c r="G23" s="52"/>
      <c r="H23" s="2"/>
      <c r="P23" s="44"/>
    </row>
    <row r="24">
      <c r="B24" s="41" t="s">
        <v>45</v>
      </c>
      <c r="C24" s="47">
        <v>444000.0</v>
      </c>
      <c r="D24" s="47">
        <v>444000.0</v>
      </c>
      <c r="F24" s="2"/>
      <c r="G24" s="2"/>
      <c r="H24" s="2"/>
    </row>
    <row r="25">
      <c r="B25" s="41" t="s">
        <v>46</v>
      </c>
      <c r="C25" s="47">
        <v>519000.0</v>
      </c>
      <c r="D25" s="47">
        <v>963000.0</v>
      </c>
      <c r="F25" s="53" t="s">
        <v>47</v>
      </c>
      <c r="G25" s="54"/>
      <c r="H25" s="55">
        <f>(SUM(C20:C43)-ABS(C19))/ABS(C19)
</f>
        <v>0.208037718</v>
      </c>
    </row>
    <row r="26">
      <c r="B26" s="41" t="s">
        <v>48</v>
      </c>
      <c r="C26" s="47">
        <v>605250.0</v>
      </c>
      <c r="D26" s="47">
        <v>1568250.0</v>
      </c>
      <c r="F26" s="56"/>
      <c r="G26" s="51"/>
      <c r="H26" s="57"/>
    </row>
    <row r="27">
      <c r="B27" s="41" t="s">
        <v>49</v>
      </c>
      <c r="C27" s="47">
        <v>704437.4999999999</v>
      </c>
      <c r="D27" s="47">
        <v>2272687.5</v>
      </c>
      <c r="F27" s="2"/>
      <c r="G27" s="2"/>
      <c r="H27" s="2"/>
    </row>
    <row r="28">
      <c r="B28" s="41" t="s">
        <v>50</v>
      </c>
      <c r="C28" s="47">
        <v>818503.1249999998</v>
      </c>
      <c r="D28" s="47">
        <v>3091190.625</v>
      </c>
    </row>
    <row r="29">
      <c r="B29" s="41" t="s">
        <v>51</v>
      </c>
      <c r="C29" s="47">
        <v>949678.5937499997</v>
      </c>
      <c r="D29" s="47">
        <v>4040869.2187499995</v>
      </c>
    </row>
    <row r="30">
      <c r="B30" s="41" t="s">
        <v>52</v>
      </c>
      <c r="C30" s="47">
        <v>1100530.3828124995</v>
      </c>
      <c r="D30" s="47">
        <v>5141399.601562499</v>
      </c>
    </row>
    <row r="31">
      <c r="B31" s="41" t="s">
        <v>53</v>
      </c>
      <c r="C31" s="47">
        <v>1274009.9402343743</v>
      </c>
      <c r="D31" s="47">
        <v>6415409.541796873</v>
      </c>
    </row>
    <row r="32">
      <c r="B32" s="41" t="s">
        <v>54</v>
      </c>
      <c r="C32" s="47">
        <v>1473511.4312695302</v>
      </c>
      <c r="D32" s="47">
        <v>7888920.9730664035</v>
      </c>
    </row>
    <row r="33">
      <c r="B33" s="41" t="s">
        <v>55</v>
      </c>
      <c r="C33" s="47">
        <v>1702938.1459599596</v>
      </c>
      <c r="D33" s="47">
        <v>9591859.119026363</v>
      </c>
      <c r="F33" s="58"/>
    </row>
    <row r="34">
      <c r="B34" s="41" t="s">
        <v>56</v>
      </c>
      <c r="C34" s="47">
        <v>1966778.8678539533</v>
      </c>
      <c r="D34" s="47">
        <v>1.1558637986880315E7</v>
      </c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>
      <c r="B35" s="41" t="s">
        <v>57</v>
      </c>
      <c r="C35" s="47">
        <v>2270195.698032046</v>
      </c>
      <c r="D35" s="47">
        <v>1.3828833684912361E7</v>
      </c>
    </row>
    <row r="36">
      <c r="B36" s="41" t="s">
        <v>58</v>
      </c>
      <c r="C36" s="47">
        <v>2619125.052736853</v>
      </c>
      <c r="D36" s="47">
        <v>1.6447958737649214E7</v>
      </c>
    </row>
    <row r="37">
      <c r="B37" s="41" t="s">
        <v>59</v>
      </c>
      <c r="C37" s="47">
        <v>3020393.8106473805</v>
      </c>
      <c r="D37" s="47">
        <v>1.9468352548296593E7</v>
      </c>
    </row>
    <row r="38">
      <c r="B38" s="41" t="s">
        <v>60</v>
      </c>
      <c r="C38" s="47">
        <v>3481852.8822444873</v>
      </c>
      <c r="D38" s="47">
        <v>2.295020543054108E7</v>
      </c>
    </row>
    <row r="39">
      <c r="B39" s="41" t="s">
        <v>61</v>
      </c>
      <c r="C39" s="47">
        <v>4012530.81458116</v>
      </c>
      <c r="D39" s="47">
        <v>2.696273624512224E7</v>
      </c>
    </row>
    <row r="40">
      <c r="B40" s="41" t="s">
        <v>62</v>
      </c>
      <c r="C40" s="47">
        <v>4622810.436768333</v>
      </c>
      <c r="D40" s="47">
        <v>3.1585546681890573E7</v>
      </c>
    </row>
    <row r="41">
      <c r="B41" s="41" t="s">
        <v>63</v>
      </c>
      <c r="C41" s="47">
        <v>5324632.002283583</v>
      </c>
      <c r="D41" s="47">
        <v>3.691017868417416E7</v>
      </c>
    </row>
    <row r="42">
      <c r="B42" s="41" t="s">
        <v>64</v>
      </c>
      <c r="C42" s="47">
        <v>6131726.802626121</v>
      </c>
      <c r="D42" s="47">
        <v>4.3041905486800276E7</v>
      </c>
    </row>
    <row r="43">
      <c r="B43" s="41" t="s">
        <v>65</v>
      </c>
      <c r="C43" s="47">
        <v>7059885.823020038</v>
      </c>
      <c r="D43" s="47">
        <v>5.010179130982032E7</v>
      </c>
    </row>
    <row r="46"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</sheetData>
  <mergeCells count="8">
    <mergeCell ref="B9:C9"/>
    <mergeCell ref="B10:C10"/>
    <mergeCell ref="F25:G26"/>
    <mergeCell ref="H25:H26"/>
    <mergeCell ref="F22:F23"/>
    <mergeCell ref="G22:G23"/>
    <mergeCell ref="F19:F20"/>
    <mergeCell ref="G19:G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0"/>
    <col customWidth="1" min="3" max="3" width="86.13"/>
    <col customWidth="1" min="4" max="4" width="12.25"/>
    <col customWidth="1" min="5" max="5" width="13.25"/>
    <col customWidth="1" min="6" max="6" width="12.63"/>
  </cols>
  <sheetData>
    <row r="2">
      <c r="B2" s="59" t="s">
        <v>66</v>
      </c>
      <c r="C2" s="59" t="s">
        <v>67</v>
      </c>
      <c r="D2" s="60" t="s">
        <v>68</v>
      </c>
      <c r="E2" s="21"/>
      <c r="F2" s="59" t="s">
        <v>69</v>
      </c>
    </row>
    <row r="3">
      <c r="B3" s="61" t="s">
        <v>70</v>
      </c>
      <c r="C3" s="62" t="s">
        <v>71</v>
      </c>
      <c r="D3" s="63">
        <v>2139767.0</v>
      </c>
      <c r="E3" s="63">
        <v>2946638.0</v>
      </c>
      <c r="F3" s="63">
        <f t="shared" ref="F3:F6" si="1">AVERAGE(D3:E3)</f>
        <v>2543202.5</v>
      </c>
    </row>
    <row r="4">
      <c r="B4" s="64"/>
      <c r="C4" s="62" t="s">
        <v>72</v>
      </c>
      <c r="D4" s="63">
        <v>2500000.0</v>
      </c>
      <c r="E4" s="63">
        <v>4500000.0</v>
      </c>
      <c r="F4" s="63">
        <f t="shared" si="1"/>
        <v>3500000</v>
      </c>
    </row>
    <row r="5">
      <c r="B5" s="64"/>
      <c r="C5" s="62" t="s">
        <v>73</v>
      </c>
      <c r="D5" s="63">
        <v>1400000.0</v>
      </c>
      <c r="E5" s="63">
        <v>5400000.0</v>
      </c>
      <c r="F5" s="63">
        <f t="shared" si="1"/>
        <v>3400000</v>
      </c>
    </row>
    <row r="6">
      <c r="B6" s="65"/>
      <c r="C6" s="62" t="s">
        <v>74</v>
      </c>
      <c r="D6" s="63">
        <v>2755200.0</v>
      </c>
      <c r="E6" s="63">
        <v>5000000.0</v>
      </c>
      <c r="F6" s="63">
        <f t="shared" si="1"/>
        <v>3877600</v>
      </c>
    </row>
    <row r="7">
      <c r="B7" s="66"/>
      <c r="C7" s="67"/>
      <c r="D7" s="68"/>
      <c r="E7" s="69" t="s">
        <v>75</v>
      </c>
      <c r="F7" s="70">
        <f>AVERAGE(F3:F6)</f>
        <v>3330200.625</v>
      </c>
    </row>
    <row r="8">
      <c r="B8" s="61" t="s">
        <v>76</v>
      </c>
      <c r="C8" s="62" t="s">
        <v>74</v>
      </c>
      <c r="D8" s="63">
        <v>3274342.0</v>
      </c>
      <c r="E8" s="63">
        <v>4428000.0</v>
      </c>
      <c r="F8" s="63">
        <f t="shared" ref="F8:F10" si="2">AVERAGE(D8:E8)</f>
        <v>3851171</v>
      </c>
    </row>
    <row r="9">
      <c r="B9" s="64"/>
      <c r="C9" s="62" t="s">
        <v>77</v>
      </c>
      <c r="D9" s="63">
        <v>1600000.0</v>
      </c>
      <c r="E9" s="63">
        <v>4800000.0</v>
      </c>
      <c r="F9" s="63">
        <f t="shared" si="2"/>
        <v>3200000</v>
      </c>
    </row>
    <row r="10">
      <c r="B10" s="65"/>
      <c r="C10" s="62" t="s">
        <v>78</v>
      </c>
      <c r="D10" s="63">
        <v>2500000.0</v>
      </c>
      <c r="E10" s="63">
        <v>4668000.0</v>
      </c>
      <c r="F10" s="63">
        <f t="shared" si="2"/>
        <v>3584000</v>
      </c>
    </row>
    <row r="11">
      <c r="B11" s="66"/>
      <c r="C11" s="67"/>
      <c r="D11" s="68"/>
      <c r="E11" s="69" t="s">
        <v>75</v>
      </c>
      <c r="F11" s="70">
        <f>AVERAGE(F8:F10)</f>
        <v>3545057</v>
      </c>
    </row>
    <row r="12">
      <c r="B12" s="61" t="s">
        <v>79</v>
      </c>
      <c r="C12" s="62" t="s">
        <v>80</v>
      </c>
      <c r="D12" s="63">
        <v>2500000.0</v>
      </c>
      <c r="E12" s="63">
        <v>4800000.0</v>
      </c>
      <c r="F12" s="63">
        <f t="shared" ref="F12:F15" si="3">AVERAGE(D12:E12)</f>
        <v>3650000</v>
      </c>
    </row>
    <row r="13">
      <c r="B13" s="64"/>
      <c r="C13" s="62" t="s">
        <v>81</v>
      </c>
      <c r="D13" s="63">
        <v>1400000.0</v>
      </c>
      <c r="E13" s="63">
        <v>4700000.0</v>
      </c>
      <c r="F13" s="63">
        <f t="shared" si="3"/>
        <v>3050000</v>
      </c>
    </row>
    <row r="14">
      <c r="B14" s="64"/>
      <c r="C14" s="62" t="s">
        <v>82</v>
      </c>
      <c r="D14" s="63">
        <v>1300000.0</v>
      </c>
      <c r="E14" s="63">
        <v>3800000.0</v>
      </c>
      <c r="F14" s="63">
        <f t="shared" si="3"/>
        <v>2550000</v>
      </c>
    </row>
    <row r="15">
      <c r="B15" s="65"/>
      <c r="C15" s="71" t="s">
        <v>74</v>
      </c>
      <c r="D15" s="72">
        <v>3055141.0</v>
      </c>
      <c r="E15" s="63">
        <v>4132800.0</v>
      </c>
      <c r="F15" s="63">
        <f t="shared" si="3"/>
        <v>3593970.5</v>
      </c>
    </row>
    <row r="16">
      <c r="B16" s="66"/>
      <c r="C16" s="73"/>
      <c r="D16" s="73"/>
      <c r="E16" s="70" t="s">
        <v>75</v>
      </c>
      <c r="F16" s="70">
        <f>AVERAGE(F12:F15)</f>
        <v>3210992.625</v>
      </c>
    </row>
    <row r="17">
      <c r="E17" s="74" t="s">
        <v>83</v>
      </c>
      <c r="F17" s="75">
        <f>(F16+F11+F7)</f>
        <v>10086250.25</v>
      </c>
    </row>
    <row r="18">
      <c r="C18" s="74" t="s">
        <v>84</v>
      </c>
      <c r="E18" s="76">
        <v>0.3</v>
      </c>
      <c r="F18" s="75">
        <f>(F17*E18)+F17</f>
        <v>13112125.33</v>
      </c>
    </row>
  </sheetData>
  <mergeCells count="5">
    <mergeCell ref="D2:E2"/>
    <mergeCell ref="B3:B6"/>
    <mergeCell ref="B8:B10"/>
    <mergeCell ref="B12:B15"/>
    <mergeCell ref="C18:D18"/>
  </mergeCells>
  <hyperlinks>
    <hyperlink r:id="rId1" ref="C3"/>
    <hyperlink r:id="rId2" ref="C4"/>
    <hyperlink r:id="rId3" ref="C5"/>
    <hyperlink r:id="rId4" ref="C6"/>
    <hyperlink r:id="rId5" ref="C8"/>
    <hyperlink r:id="rId6" ref="C9"/>
    <hyperlink r:id="rId7" ref="C10"/>
    <hyperlink r:id="rId8" ref="C12"/>
    <hyperlink r:id="rId9" ref="C13"/>
    <hyperlink r:id="rId10" ref="C14"/>
    <hyperlink r:id="rId11" ref="C15"/>
  </hyperlinks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2024-05-24T00:56:19Z</dcterms:created>
  <dc:creator>MARCELO . DARRAS TELLEZ</dc:creator>
</cp:coreProperties>
</file>